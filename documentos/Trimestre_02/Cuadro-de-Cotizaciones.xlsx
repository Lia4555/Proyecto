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DiscoSolido Admin" sheetId="3" r:id="rId6"/>
    <sheet state="visible" name="Disco duro interno Admin" sheetId="4" r:id="rId7"/>
    <sheet state="visible" name="Servidor Admin" sheetId="5" r:id="rId8"/>
    <sheet state="visible" name="Teclado Admin" sheetId="6" r:id="rId9"/>
    <sheet state="visible" name="Ram Admin" sheetId="7" r:id="rId10"/>
    <sheet state="visible" name="Mouse Admin" sheetId="8" r:id="rId11"/>
    <sheet state="visible" name="Portatil Nosotros" sheetId="9" r:id="rId12"/>
    <sheet state="visible" name="Monitor Nosotros" sheetId="10" r:id="rId13"/>
    <sheet state="visible" name=" Disco mecanico Nosotros" sheetId="11" r:id="rId14"/>
    <sheet state="visible" name=" Servidor Nosotros" sheetId="12" r:id="rId15"/>
    <sheet state="visible" name=" Ram nosotros" sheetId="13" r:id="rId16"/>
    <sheet state="visible" name="Tarjeta de video nosotros" sheetId="14" r:id="rId17"/>
    <sheet state="visible" name="Procesador Nosotros" sheetId="15" r:id="rId18"/>
    <sheet state="visible" name="Teclado nosostros " sheetId="16" r:id="rId19"/>
    <sheet state="visible" name="Mouse nosotros" sheetId="17" r:id="rId20"/>
    <sheet state="visible" name="Software licencia" sheetId="18" r:id="rId21"/>
    <sheet state="visible" name="Licencia visual" sheetId="19" r:id="rId22"/>
    <sheet state="visible" name="Windows 11 licencia" sheetId="20" r:id="rId23"/>
    <sheet state="visible" name="Licencia SQL" sheetId="21" r:id="rId24"/>
  </sheets>
  <definedNames/>
  <calcPr/>
  <extLst>
    <ext uri="GoogleSheetsCustomDataVersion2">
      <go:sheetsCustomData xmlns:go="http://customooxmlschemas.google.com/" r:id="rId25" roundtripDataChecksum="FaGa4Aiyu80+7tdUz4T9MNE229HKbVw9GKTmF88xWKs="/>
    </ext>
  </extLst>
</workbook>
</file>

<file path=xl/sharedStrings.xml><?xml version="1.0" encoding="utf-8"?>
<sst xmlns="http://schemas.openxmlformats.org/spreadsheetml/2006/main" count="671" uniqueCount="442">
  <si>
    <t>|</t>
  </si>
  <si>
    <t xml:space="preserve">    </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</si>
  <si>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</si>
  <si>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</si>
  <si>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</si>
  <si>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</si>
  <si>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</si>
  <si>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</si>
  <si>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</si>
  <si>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</si>
  <si>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</si>
  <si>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</si>
  <si>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</si>
  <si>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</si>
  <si>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MERCADO LIBRE </t>
  </si>
  <si>
    <t>https://articulo.mercadolibre.com.co/MCO-606754785-torre-gamer-rgb-amd-ryzen-5-5600g-16gb-ssd-m2-500gb-pd-_JM?matt_tool=19390127&amp;utm_source=google_shopping&amp;utm_medium=organic</t>
  </si>
  <si>
    <t xml:space="preserve"> 5 5600GT, gráficos Radeon Vega 7, 16 GB de RAM DDR4 y SSD de 512 GB</t>
  </si>
  <si>
    <t>CONTADO</t>
  </si>
  <si>
    <t>Computador de gran alcance con procesador Intel core i5, acondicionado para ejecutar multitareas administrativas, domesticas, educativas e interactivas a gran velocidad</t>
  </si>
  <si>
    <t xml:space="preserve">Nº2 </t>
  </si>
  <si>
    <t>FALABELLA</t>
  </si>
  <si>
    <t>https://www.falabella.com.co/falabella-co/product/130529098/COMPUTADOR-GAMER-RYZEN-5-5600GT-16GB-RAM-SSD-1TB-MONITOR-22-FHD+-COMBO/130529099?kid=shopp261fa&amp;gclsrc=aw.ds&amp;gad_source=4&amp;gad_campaignid=21861273110&amp;gbraid=0AAAAADtuoyT4msvbvAdNcN40msY1D1LZP&amp;gclid=CjwKCAjw0sfHBhB6EiwAQtv5qf7pjqwe9784hVT6f1glfbC9UV8xqCrKr_LTy-G-nLcfjx3DQECTOBoClbgQAvD_BwE</t>
  </si>
  <si>
    <t>5 5600GT 16GB RAM SSD 1TB MONITOR 22 FHD</t>
  </si>
  <si>
    <t>En PcWare encuentras de forma fácil un gran catálogo el componente o partes de pc al mejor precio</t>
  </si>
  <si>
    <t>Nº 3</t>
  </si>
  <si>
    <t>ÉXITO</t>
  </si>
  <si>
    <t>https://www.exito.com/computador-torre-gamer-intel-core-i5-10400-ssd-480gb-hdd-500gb-ram-8gb-gt-710-2gb-monitor-22-perifericos-usb-101513629-mp/p</t>
  </si>
  <si>
    <t xml:space="preserve"> Intel Core I5 10400 Ssd 480Gb Hdd 500Gb Ram 8Gb Gt 710 2Gb + Monitor 22 + Perifericos Usb</t>
  </si>
  <si>
    <t xml:space="preserve">EQUIPO GAMER INTEL CORE I5 10400 DECIMA GENERACIÓN SDD 480GB RAM 8GB HDD 500GB TARJETA DE VIDEO GT 710 2GB MONITOR 22'    </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</si>
  <si>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</si>
  <si>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</si>
  <si>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CUADRO DE COTIZACIONES</t>
  </si>
  <si>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</si>
  <si>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</si>
  <si>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</si>
  <si>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</si>
  <si>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</si>
  <si>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</si>
  <si>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</si>
  <si>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</si>
  <si>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LG Compnay</t>
  </si>
  <si>
    <t>https://www.lg.com/co/monitore/uhd-4k-8k/27ul500-w/</t>
  </si>
  <si>
    <t>LG 27UL500-W</t>
  </si>
  <si>
    <t xml:space="preserve">Tamaño: 27 pulgadas
Resolución: 4K UHD (3840x2160)
Panel: IPS con buena reproducción de color
</t>
  </si>
  <si>
    <t xml:space="preserve">ALKOSTO </t>
  </si>
  <si>
    <t>https://www.alkosto.com/computadores-tablet/monitores/c/BI_110_ALKOS</t>
  </si>
  <si>
    <t>Monitor HP 23.8" Pulgadas 524SH FHD Plano Plateado</t>
  </si>
  <si>
    <t>Tasa de refresco de 100Hz, mayor velocidad y fluidez
Adaptable a su trabajo, ajuste de altura e inclinacion
Disfrute de imágenes nítidas con la resolución FHD
Menor fatiga visual, antirreflejo y sin parpadeos</t>
  </si>
  <si>
    <t xml:space="preserve">MONITORES COLOMBIA </t>
  </si>
  <si>
    <t>https://monitores.com.co/</t>
  </si>
  <si>
    <t>HP M22f 21.5" Full HD IPS</t>
  </si>
  <si>
    <t>Panel IPS con colores precisos
Certificación de seguridad visual para evitar desgaste ocular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</si>
  <si>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</si>
  <si>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</si>
  <si>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Disco Solid</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</si>
  <si>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</si>
  <si>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</si>
  <si>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</si>
  <si>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</si>
  <si>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</si>
  <si>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</si>
  <si>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</si>
  <si>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t>Observaciones 
(se debe incluir toda aquella característica que no ha sido posible incluir anteriormente)</t>
  </si>
  <si>
    <t>EX!TO/HI TECH</t>
  </si>
  <si>
    <t xml:space="preserve">https://www.exito.com/disco-solido-ssd-crucial-240gb-ct240-bx500-103031990-mp/p?idsku=103031990&amp;srsltid=AfmBOorSt_rM05mj97L_ICrgFTDuTv01GSwuEdMfcGgpqKTu8E1GTev8MXA
</t>
  </si>
  <si>
    <t>Disco Sólido Ssd Crucial 240Gb Ct240 Bx500</t>
  </si>
  <si>
    <t xml:space="preserve">CONTADO </t>
  </si>
  <si>
    <t xml:space="preserve">Con este disco sólido de Crucial podrás acelerar la carga de archivos en tu computadora. Su óptimo rendimiento presenta velocidades de escritura de hasta 500 MB/s y lectura de hasta 540 MB/s. A su vez, su formato de fácil instalación y diseño compacto lo convierten en un dispositivo ideal para potenciar tu PC. Más velocidad a tu alcance
Este producto posee una interfaz SATA III que se encarga de transferir datos con la placa madre de tu computadora. </t>
  </si>
  <si>
    <t>MERCADO LIBRE</t>
  </si>
  <si>
    <t>https://www.mercadolibre.com.co/disco-solido-ssd-interno-attech-at422-256gb-negro/up/MCOU2666260732?matt_tool=19390127&amp;utm_source=google_shopping&amp;utm_medium=organic&amp;pdp_filters=item_id%3AMCO972565247&amp;from=gshop</t>
  </si>
  <si>
    <t>Disco Sólido Ssd Interno Attech At422 256gb Negro</t>
  </si>
  <si>
    <t>Con velocidades de lectura y escritura sostenidas de hasta 3500/3000 MB por segundo, iluminación RGB personalizable y una gran cantidad de características que mejoran el rendimiento</t>
  </si>
  <si>
    <t>https://www.mercadolibre.com.co/disco-estado-solido-ssd-kingston-25-a400-960gb-negro/p/MCO26810824#polycard_client=search-nordic&amp;search_layout=stack&amp;position=1&amp;type=product&amp;tracking_id=3294e58d-71e8-4273-9a07-c664cf3c1474&amp;wid=MCO1369286285&amp;sid=search</t>
  </si>
  <si>
    <t>Disco estado sólido SSD Kingston 2.5 A400 960gb Negro</t>
  </si>
  <si>
    <t>La unidad A400 de estado sólido de Kingston mejora significativamente la velocidad de respuesta del sistema sin necesidad de actualizaciones de hardware adicionales. Ofrece tiempos de arranque, carga y transferencia de archivos considerablemente más rápidos en comparación con las unidades de disco duro mecánico. Utiliza un controlador de última generación que alcanza velocidades de lectura y escritura de hasta 500 MB/s y 450 MB/s, respectivamente. Esta SSD es 10 veces más rápida que los discos duros tradicionales y proporciona un rendimiento superior, una respuesta ultrarrápida en el procesamiento multitareas y una aceleración general del sistema. Además, es más confiable y duradera que las unidades de disco duro y está disponible en varias capacidades, desde 120 GB hasta 960 GB.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</si>
  <si>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</si>
  <si>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</si>
  <si>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Disco Du</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</si>
  <si>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</si>
  <si>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</si>
  <si>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</si>
  <si>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</si>
  <si>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</si>
  <si>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</si>
  <si>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</si>
  <si>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</si>
  <si>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EXITO</t>
  </si>
  <si>
    <t>https://www.exito.com/disco-solido-ssd-1tb-wester-digital-green-sata-iii-102429879-mp/p?idsku=102429879&amp;srsltid=AfmBOoqm6fLOuxSWPf0iXQg7hdTQ_1Q3Ulp2Mua9WG-mn38g-50NTS8EXgU</t>
  </si>
  <si>
    <t>Disco Solido Ssd 1Tb Wester Digital Green Sata Iii</t>
  </si>
  <si>
    <t>Mejore el rendimiento de la informática diaria. Con el aumento de rendimiento de un SSD SATA WD Green, puede navegar por la web, jugar o simplemente encender su sistema en poco tiempo.</t>
  </si>
  <si>
    <t xml:space="preserve">KTRONIX </t>
  </si>
  <si>
    <t>Disco Duro TOSHIBA Basic 2TB</t>
  </si>
  <si>
    <t>Mantenga el almacenamiento simple. Disco Duro Portátil Canvio Basics Almacenar sus fotos, videos y datos nunca ha sido tan fácil. El disco duro portátil Canvio Basics de Toshiba ofrece hasta 2TB de espacio de almacenamiento en una elegante carcasa compacta para una mayor portabilidad. Simplemente conéctelo para empezar a guardar y acceder a sus archivos. Ese es el almacenamiento hecho simple."Lleva el tuyo ahora".</t>
  </si>
  <si>
    <t>ALKOSTO</t>
  </si>
  <si>
    <t>https://www.alkosto.com/unidad-estado-solido-adata-su650-960gb/p/4713218461186?fuente=google&amp;medio=cpc&amp;campaign=AK_COL_MAX_PEF_CPC_AON_VJ_TLP_Accesorios-Videojuegos-AON_PAC&amp;keyword=&amp;gad_source=4&amp;gad_campaignid=17338992415&amp;gbraid=0AAAAADlnVbhy-dH456X70mMxZsURXAO5T&amp;gclid=CjwKCAjwu9fHBhAWEiwAzGRC_zulXyBwOx4pfz2FZM8USN2rOkyD-EKr0I_DfLKuJXBXOFMV4trifBoC1oAQAvD_BwE</t>
  </si>
  <si>
    <t>Unidad Estado Solido ADATA SU650 960GB</t>
  </si>
  <si>
    <t>La unidad estado sólido Ultimate SU650 de ADATA implementa Flash NAND 3D y un controlador de alta velocidad, ofreciendo un rendimiento de lectura/escritura de hasta 520/450MB/s, mayor fiabilidad para aquellos que quieren experimentar una mejora de su PC, el SU650 es una excelente opción con gran relación costo-rendimiento. Mejora la respuesta de su equipo de cómputo, 10 veces más rápido en tiempos de arranque, carga y transferencia de archivos en comparación con los discos duros mecánicos, guarde aplicaciones, archivos de trabajo e información privada de manera eficiente. Haz el cambio ahora!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</si>
  <si>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</si>
  <si>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</si>
  <si>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</si>
  <si>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</si>
  <si>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</si>
  <si>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</si>
  <si>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</si>
  <si>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</si>
  <si>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</si>
  <si>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</si>
  <si>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</si>
  <si>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https://unilago.com/producto/65754-SERVIDOR-?srsltid=AfmBOop1rthL-ibxd6oUZK8Nzd2fDU7soMNfQPDVBUjrJls9wa2X6eFTry0</t>
  </si>
  <si>
    <t>Poweredge T150 - Tower Server/ Intel Xeon E-2336g/16gb/2tb 16 GbPoweredge T150 - Tower Server/ Intel Xeon E-2336g/16gb/2tb 16 Gb
Nuevo
Poweredge T150 - Tower Server/ Intel Xeon E-2336g/16gb/2tb 16 Gb</t>
  </si>
  <si>
    <t>Un procesador Intel® Xeon® serie E-2336 con hasta 8 núcleos por procesador</t>
  </si>
  <si>
    <t>https://articulo.mercadolibre.com.co/MCO-1623425283-servidor-nas-synology-ds223-2tb-ssd-4-nucleos-1gbe-_JM?matt_tool=19390127&amp;utm_source=google_shopping&amp;utm_medium=organic</t>
  </si>
  <si>
    <t>Servidor Hp Proliant Ml310e Gen8 V2 R16gb Ssd480 Xeon 3.1ghz 16 Gb (Reacondicionado)</t>
  </si>
  <si>
    <t>Memoria RAM: 16 GB
Modelo del procesador: E3-1220 V3
Línea del procesador: Xeon
Marca del procesador: Intel</t>
  </si>
  <si>
    <t>TECNO NACHO SAS</t>
  </si>
  <si>
    <t>https://tecnonacho.com/producto/servidor-dell-poweredge-t40-xeon-8gb-1tb/</t>
  </si>
  <si>
    <t>SERVIDOR DELL POWEREDGE T40 XEON E3-1225V5 8GB 1TB:</t>
  </si>
  <si>
    <t xml:space="preserve">Este servidor Dell PowerEdge T40 con procesador Xeon E3-1225V5, 8GB de RAM y 1TB de almacenamiento ofrece un rendimiento potente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</si>
  <si>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</si>
  <si>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</si>
  <si>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RE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</si>
  <si>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</si>
  <si>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</si>
  <si>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</si>
  <si>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</si>
  <si>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</si>
  <si>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</si>
  <si>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</si>
  <si>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</si>
  <si>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https://www.mercadolibre.com.co/teclado-weibo-qwerty-color-negro-con-luz-rgb/p/MCO17396342?matt_tool=19390127&amp;utm_source=google_shopping&amp;utm_medium=organic&amp;pdp_filters=item_id%3AMCO1398795027&amp;from=gshop</t>
  </si>
  <si>
    <t>CTeclado Weibo QWERTY color negro con luz RGB</t>
  </si>
  <si>
    <t>Este dispositivo tiene teclas antighosting. Esta cualidad es indispensable si requieres de un uso intensivo del periférico. Gracias a esto podrás evitar fallas al tocar varias teclas al mismo tiempo.</t>
  </si>
  <si>
    <t>https://www.falabella.com.co/falabella-co/product/126764003/Kit-De-Teclado-Y-Mouse-Inalambrico-Logitech-Mk470-Espanol-Color-Rosado/126764004</t>
  </si>
  <si>
    <t>Kit De Teclado Y Mouse Inalámbrico Logitech Mk470 Español Color Rosado</t>
  </si>
  <si>
    <t>https://www.alkosto.com/teclado-logitech-inalambrico-bluetooth-k380s-negro/p/097855186201</t>
  </si>
  <si>
    <t>Teclado LOGITECH Inalámbrico Bluetooth K380S Negro</t>
  </si>
  <si>
    <t xml:space="preserve">El teclado K380s hace que cualquier espacio sea minimalista, moderno y multidispositivo permitiéndote escribir en tu Celular, Tablet, Portátil. Además, puedes conectarlo con tres dispositivos Bluetooth al mismo tiempo y cambiar de uno a otro al instante. </t>
  </si>
  <si>
    <t>Calle 12 # 34 - 30,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</si>
  <si>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</si>
  <si>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</si>
  <si>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</si>
  <si>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</si>
  <si>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</si>
  <si>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</si>
  <si>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</si>
  <si>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</si>
  <si>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</si>
  <si>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</si>
  <si>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Speed logic</t>
  </si>
  <si>
    <t>https://speedlogic.com.co/tienda/memorias-ram/memoria-ram-ddr4-16g-3200-cors</t>
  </si>
  <si>
    <t>MEMORIA RAM DDR4 16G 3200 CORSAIR VENGEANCE RGB RS</t>
  </si>
  <si>
    <t>La memoria DDR4 CORSAIR VENGEANCE RGB RS realza la estética de su PC gracias a su iluminación RGB dinámica y direccionable individualmente</t>
  </si>
  <si>
    <t>Mercado Libre</t>
  </si>
  <si>
    <t>https://listado.mercadolibre.com.co/memoria-ddr4-16gb</t>
  </si>
  <si>
    <t>Memoria RAM Premier color verde 16GB 1 Adata AD4S320016G22-SGN</t>
  </si>
  <si>
    <t>Cuenta con una tasa de transferencia de 25600 MB/s.</t>
  </si>
  <si>
    <t>Tecnostock</t>
  </si>
  <si>
    <t>https://tecnostock.com.co/products/crucial-laptop-ddr4-3200-mhz-sodimm-memory-module?variant=46808587370781&amp;currency=COP&amp;utm_medium=product_sync&amp;utm_source=google&amp;utm_content=sag_organic&amp;utm_campaign=sag_organic&amp;srsltid=AfmBOoqET5a1tgCjO-30b6IPBqHaFs9VneMJjDgoKfxpm8XhSgHhZF9ABDc</t>
  </si>
  <si>
    <t>Crucial Laptop DDR4 3200 MHz SODIMM Memory Module</t>
  </si>
  <si>
    <t>Velocidad de reloj de 3200 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</si>
  <si>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</si>
  <si>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</si>
  <si>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Mause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</si>
  <si>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</si>
  <si>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</si>
  <si>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</si>
  <si>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</si>
  <si>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</si>
  <si>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</si>
  <si>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</si>
  <si>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</si>
  <si>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https://www.alkosto.com/mouse-logitech-inalambrico-optico-m240-blanco/p/097855187680?utm_source=google&amp;utm_medium=organic&amp;utm_campaign=Shopping-Organico&amp;srsltid=AfmBOormYDpPDWMAh4_veFlM5P04n-ACx0eIE6COHYKfwzLVqIKe2yXekzs</t>
  </si>
  <si>
    <t>Mouse LOGITECH Inalámbrico Óptico M240 Blanco</t>
  </si>
  <si>
    <t>Presentamos M240 Silent, el confiable ratón Bluetooth® que libera su espacio de trabajo, se conecta en segundos y ofrece una productividad ultrasilenciosa y duradera. Una forma esculpida y contorneada y 18 meses de duración de la batería te permiten concentrarte en lo que haces mejor..</t>
  </si>
  <si>
    <t>PC MADRIGAL</t>
  </si>
  <si>
    <t>https://www.madrigal.co/?product=accesorios-mouses-y-pads-almohadillas-basico-cuenta-con-una-sencilla-conexion-plug-and-play-a-pc-con-un-cable-usb-el-diseno-lenovo-epm-3731&amp;srsltid=AfmBOopnpXm3dzTzWLc0x_xg7s6SfVw-CL9hAZFv349MZnx70iv6MSoa6G4</t>
  </si>
  <si>
    <t>MOUSE USB LENOVO ESSENTIAL NEGRO 4Y50R</t>
  </si>
  <si>
    <t>El mouse USB Lenovo Essential es más que un mouse básico.
Cuenta con una sencilla conexión plug-and-play a PC con un cable USB.
El diseño ergonómico de tamaño completo proporciona un agarre cómodo para comodidad durante todo el día.
Un sensor óptico de alta resolución de 1600 DPI garantiza que se deslizará suavemente de una ventana a otra.</t>
  </si>
  <si>
    <t>PANAMERICANA</t>
  </si>
  <si>
    <t>https://www.panamericana.com.co/mouse-alambrico-hp-100-negro-620921/p?idsku=620921&amp;srsltid=AfmBOooAujpOfiDSb76jo12_eHJ2i4EbsvSZDoIqesZ6hSTvszFzwJuJFY8</t>
  </si>
  <si>
    <t>Mouse alámbrico HP 100, negro</t>
  </si>
  <si>
    <t>Mantenerse en contacto ahora es mucho más cómodo. Diseñado para usarlo todos los días, durante todo el día, este mouse ambidiestro se instala en segundos y cabe naturalmente en su mano.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</si>
  <si>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</si>
  <si>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</si>
  <si>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</si>
  <si>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</si>
  <si>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</si>
  <si>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</si>
  <si>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</si>
  <si>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</si>
  <si>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</si>
  <si>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</si>
  <si>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lkosto.com/computador-portatil-gamer-hp-victus-156-fa0022la-intel/p/198122718252?fuente=google&amp;medio=cpc&amp;campaign=AK_COL_SMARTGSHP_PEF_CPC_EST_COMP_HP-Computadores_Jun25_EXP_JUN&amp;keyword=PRODUCT_GROUP&amp;gclsrc=aw.ds&amp;&amp;fuente=google&amp;medio=cpc&amp;campaign=AK_COL_SMARTGSHP_PEF_CPC_EST_COMP_HP-Computadores_Jun25_EXP_JUN&amp;keyword=&amp;gad_source=1&amp;gad_campaignid=21839899147&amp;gbraid=0AAAAACe2vQdPWPok2fs1cBCI5oM7qebR0&amp;gclid=CjwKCAjwmNLHBhA4EiwA3ts3mSnqzM2ftmRmqFAgCbYw0tPuI_-fPK75UeAPh6Fu543NIr9WVoZZSBoCgjQQAvD_BwE</t>
  </si>
  <si>
    <t>Intel Core i5 - RAM 16GB - Disco 512GB - RTX 3050</t>
  </si>
  <si>
    <t>Procesador	Intel® Core™ i5-12450H (hasta 4,4 GHz con tecnología Intel® Turbo Boost,12 MB de caché L3, 8 núcleos y 12 subprocesos)
Memoria	16GB de RAM DDR4-3200 MHz (2 x 8GB)
Almacenamiento	Unidad de estado sólido PCIe® Gen4 NVMe™ M.2 de 512GB
Tarjeta Gráfica	GPU NVIDIA® GeForce RTX™ 3050 (GDDR6 de 4GB dedicada)</t>
  </si>
  <si>
    <t>https://www.falabella.com.co/falabella-co/product/144797505/ASUS-TUF-A15-AMD-RYZEN-5-7535HS-SSD-512GB-RAM-16GB-DDR5-15,6-FHD-RTX-3050-4GB/144797506?kid=shopp261fa&amp;gclsrc=aw.ds&amp;gad_source=1&amp;gad_campaignid=21861273110&amp;gbraid=0AAAAADtuoyRFpacEaM098SlaM6-p5W2Xk&amp;gclid=CjwKCAjwmNLHBhA4EiwA3ts3me49BuMXkuP-M_2iAkpW53ssHExguVq8phYwqkTeBwurzs_WZ6ThnRoCXI0QAvD_BwE</t>
  </si>
  <si>
    <t>ASUS TUF A15 AMD RYZEN 5 7535HS SSD 512GB RAM 16GB DDR5 15,6 FHD RTX 3050 4G</t>
  </si>
  <si>
    <t>MODELO: FA506NC-HN006
PROCESADOR: AMD RYZEN 5 7535HS 7000 SERIES
CANTIDAD DE NUCLEOS: 6 
CANTIDAD DE SUBPROCESOS: 12
VELOCIDA BASICA DEL PROCESADOR: 3.3GHZ
VELOCIDAD MAXIMA DEL PROCESADOR: 4.55GHz</t>
  </si>
  <si>
    <t>https://www.alkosto.com/computador-portatil-gamer-asus-tuf-16-fx607vj-intel-core-5/p/4711636036580?gclsrc=aw.ds&amp;&amp;fuente=google&amp;medio=cpc&amp;campaign=AK_COL_MAX_PEF_CPC_AON_COMP_Intel_Mar21_EXP_MAR&amp;keyword=&amp;gad_source=1&amp;gad_campaignid=17347372244&amp;gbraid=0AAAAADlnVbj38xka5Ni5QdNdIuQAHE8c-&amp;gclid=CjwKCAjwmNLHBhA4EiwA3ts3mRoWkPh5VTDC96AzdNCtcT1c2GH9H7_NfplDrsxsGBYZxtNAGqtpnxoCNu8QAvD_BwE</t>
  </si>
  <si>
    <t xml:space="preserve"> Intel Core 5 - RAM 8GB - Disco 512GB - RTX 3050</t>
  </si>
  <si>
    <t>rocesador Intel® Core™ i7-13650HX y hasta una GPU NVIDIA® GeForce RTX™ 4060 para portátiles compatible con NVIDIA® Advanced Optimus. El TUF Gaming F16 de 2024 también cuenta con memoria RAM DDR5 a 4800 MHz de alta velocidad y dos ranuras para SSD M.2</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</si>
  <si>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</si>
  <si>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</si>
  <si>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</si>
  <si>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</si>
  <si>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</si>
  <si>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</si>
  <si>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</si>
  <si>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</si>
  <si>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</si>
  <si>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</si>
  <si>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https://www.alkosto.com/monitor-samsung-gamer-32-pulgadas-ag320-plano-negro/p/887276595368</t>
  </si>
  <si>
    <t>Monitor SAMSUNG Gamer 32" Pulgadas AG320 Plano Negro</t>
  </si>
  <si>
    <t>Sus 165Hz eliminan el retraso, una experiencia ultrafluida</t>
  </si>
  <si>
    <t xml:space="preserve">FALABELLA </t>
  </si>
  <si>
    <t>https://www.falabella.com.co/falabella-co/product/122186554/Monitor-ThinkVision-M14-movil-con-pantalla-tactil-14%E2%80%9D/122186555</t>
  </si>
  <si>
    <t>Monitor ThinkVision M14 móvil con pantalla táctil 14”</t>
  </si>
  <si>
    <t>Response Time 6 ms (Extreme mode) / 8 ms (Typical mode)</t>
  </si>
  <si>
    <t>KTONIX</t>
  </si>
  <si>
    <t>https://www.mercadolibre.com.co/monitor-gamer-lg-ultragear-27gr75q-lcd-27-negro-100v240v/p/MCO24122328?pdp_filters=item_id:MCO1413629089#is_advertising=true&amp;searchVariation=MCO24122328&amp;position=10&amp;search_layout=stack&amp;type=pad&amp;tracking_id=7415b802-551f-4627-8fe6-d6c65a3e40c2&amp;is_advertising=true&amp;ad_domain=VQCATCORE_LST&amp;ad_position=10&amp;ad_click_id=ODk2ZGUwZDQtYTZlMS00YjZkLWJkNmUtYjc0N2NkYWY4OTdl</t>
  </si>
  <si>
    <t>Monitor SAMSUNG Gamer 27" Pulgadas Odyseey DG300 FHD Plano Negro
Código: 887276836225</t>
  </si>
  <si>
    <t xml:space="preserve">Tasa de refresco de 180Hz Max, experiencia fluida y envolvente
Tiempo de respuesta 1ms, la acción fluye como en la vida real
Panel VA para disfrutar todo tu contenido
Base ergonomica con ajuste en altura, inclinación, y pivote
</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</si>
  <si>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</si>
  <si>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</si>
  <si>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</si>
  <si>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</si>
  <si>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</si>
  <si>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</si>
  <si>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</si>
  <si>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</si>
  <si>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</si>
  <si>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</si>
  <si>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https://www.falabella.com.co/falabella-co/product/124164428/Disco-duro-externo-2tb-toshiba-usb-3.0-+-estuche/124164429</t>
  </si>
  <si>
    <t>Disco duro externo 2tb toshiba usb 3.0 + estuche</t>
  </si>
  <si>
    <t>El disco duro
Externo 2TB toshiba canvio basics usb 3.0 es compatible con Mac y Windows. Descubre una de las maneras más sencillas para añadir
almacenamiento a tu computadora con el disco duro externo portátil Canvio
Basics 3.0 de Toshiba. Está unidad de
almacenamiento portátil te ofrece Drag and Drop, o sea que lo
único que tienes que hacer es arrastrar y soltar el contenido deseado y ya está
transferido. Canvio Basics 3.0, con una capacidad de 2 TB y con la
tecnología USB 3.0 te permite guardar
esos archivos saturados de tu PC y a una velocidad muchísimo más rápida. Además
puedes tener mayor tranquilidad en caso de cualquier accidente, ya que cuenta
con un sensor de golpes interno y con la tecnología de carga de rampa para
resguardar la unidad y la información contra caídas y otros impactos
inesperados. Y eso no es todo, gracias a su estilo ergonómico, es perfecto para
llevarse a todos lados y de ese modo poder compartir tu contenido digital.</t>
  </si>
  <si>
    <t xml:space="preserve"> EX!TO</t>
  </si>
  <si>
    <r>
      <rPr>
        <rFont val="Arial"/>
        <color rgb="FF000000"/>
        <sz val="10.0"/>
      </rPr>
      <t xml:space="preserve">    </t>
    </r>
    <r>
      <rPr>
        <rFont val="Arial"/>
        <color rgb="FF1155CC"/>
        <sz val="10.0"/>
        <u/>
      </rPr>
      <t>https://www.exito.com/disco-duro-seagate-expansion-portable-1tb-usb-3-0-1000-gb-124145517/p?idsku=124231617&amp;srsltid=AfmBOoqaV-mbwGIjvXBEOIdsoCIOp0jXnyuo5TklxCz95Oq2lgOq11UKnCU</t>
    </r>
  </si>
  <si>
    <t>Disco Duro Seagate Expansion Portable 1tb Usb 3.0 1000 Gb</t>
  </si>
  <si>
    <t>Conéctalo directamente a tu PC, Mac o Chromebook y empieza a usarlo al instante sin necesidad de instalar software. Su funcionalidad plug-and-play con USB 3.0 permite realizar copias de seguridad y transferencias de datos de forma rápida y sencilla.
ALMACENAMIENTO PORTÁTIL
Disfruta de una capacidad de almacenamiento masiva en un diseño compacto y ligero. Ideal para guardar tus fotos, videos, música, documentos o juegos sin ocupar mucho espacio y con la facilidad de llevarlo contigo a donde vayas.
COMPATIBILIDAD UNIVERSAL
Funciona perfectamente con Windows, Mac y Chromebook, lo que te brinda una solución versátil y confiable para almacenar y proteger tus archivos en múltiples dispositivos, sin necesidad de formatear o usar software adicional.
TRANSFERENCIA RÁPIDA CON USB 3.0
Gracias a su conexión USB 3.0 de alta velocidad, podrás mover grandes volúmenes de archivos en segundos. Perfecto para quienes necesitan eficiencia al realizar copias de seguridad o acceder a grandes bibliotecas multimedia.</t>
  </si>
  <si>
    <t>SHOPEE</t>
  </si>
  <si>
    <t>https://shopee.com.co/product/1575751765/41806906054?gads_t_sig=VTJGc2RHVmtYMTlxTFVSVVRrdENkWHlFU0hvQlZFVENpb1FnT09uNDlDSVpjalJkM3ZNZkxlNzRSOUxWaWxNYVJ2Z1UrUXpnUGUvSXh2TVl4ODlqNTJadTRWdEhVb2taZXRQYXlqT0x4UHAxR3Mva3ZkZjE0bS8wTS9GMnFmNzIrWU9iTUxJb2o3Nkd2UlRsdTY2THV3PT0</t>
  </si>
  <si>
    <t>Disco Duro Mecánico 1TB sata3 Portátil 2,5 Pulgadas 7mm mini Grabador De Vídeo De Vigilancia</t>
  </si>
  <si>
    <t>El disco duro es un artículo consumible y la vida útil normal recomendada es de 1 a 3 años. La caída, la caída y las fallas de energía anormales pueden dañar el disco duro, así que utilícelo con precaución.
Tamaño del disco duro: 2,5 pulgadas
Tamaño del disco duro: 100*70*7mm
Grosor del disco duro: 7 mm
Tipo de interfaz: Puerto serie SATA3 (admite SATA1 y SATA2)
Tecnología: tecnología vertical PMR
Dimensiones: largo * ancho * alto 100,2*69,85*7mm
Capacidad del disco duro: 320/500/1000/2000G (debido a la ocupación del sistema, la capacidad real que se muestra en la computadora es el 93% de la capacidad marcada, lo cual es normal)
Adecuado para computadoras portátiles, PC de escritorio, consolas de juegos PS4, cajas de disco duro móviles, mini grabadoras de video y otros dispositivos multimedia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</si>
  <si>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</si>
  <si>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</si>
  <si>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</si>
  <si>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</si>
  <si>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</si>
  <si>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</si>
  <si>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</si>
  <si>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</si>
  <si>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</si>
  <si>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</si>
  <si>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COMPULAGO</t>
  </si>
  <si>
    <t>https://www.compulago.com/producto/servidor-lenovo-thinksystem-st45-v3-server-7dh4a00gla-2323-03474310/?srsltid=AfmBOoqe951g-cUfRYYC697PrpyYu1kcLNL6Hi2k_m0K5LmJxpRhW09QewI</t>
  </si>
  <si>
    <t>SERVIDOR LENOVO THINKSYSTEM ST45 V3 SERVER 7DH4A00GLA</t>
  </si>
  <si>
    <t>Tipo de Chasis Atx, Factor de Forma Torre, Unidades Rack 4U, Amd, Procesador AMD EPYC 4004 CPU AP 12 Core, Velocidad 3.4Ghz, Generacion G9, Memoria 16 Gb , max up to 64GB, 5200MHz, Disco Duro 2 TB 3.5” HDD, Incluye HW RAID support SW RAID support, No Software, Garantia 36 Meses, . .</t>
  </si>
  <si>
    <t>ENCARGUELO</t>
  </si>
  <si>
    <t>https://encarguelo.com/producto/B0BCXN7TLR/servidor-hp-proliant-dl380-g9-e5-2660v3-260-ghz-10-nucleos-y-8-gb-p440ar-renovado?srsltid=AfmBOopQ9qLCl7EIZxKf5UwVpDr4BcMHsTEG5JSe5aO4DNOW3U5GW7nHXc8</t>
  </si>
  <si>
    <t>Servidor HP ProLiant DL380 G9 E5-2660v3, 2,60 Ghz, 10 núcleos y 8 GB P440ar (renovado)</t>
  </si>
  <si>
    <t xml:space="preserve">En Encarguelo sabemos que comprar en USA desde Colombia es más que una tendencia, es una inversión en calidad. Garantizamos envíos seguros a Colombia, con seguimiento en todo momento, y te damos la facilidad de pagar en moneda local.
</t>
  </si>
  <si>
    <t>https://www.mercadolibre.com.co/hpe-proliant-microserver-g11-xeon-e2434-2-tb-16/up/MCOU3449410717?matt_tool=19390127&amp;utm_source=google_shopping&amp;utm_medium=organic&amp;pdp_filters=item_id%3AMCO1685092241&amp;from=gshop</t>
  </si>
  <si>
    <t>Hpe Proliant Microserver G11 Xeon E-2434 2 Tb 16</t>
  </si>
  <si>
    <t xml:space="preserve">Silencioso y ahorra espacio: el diseño de mini torre ultracompacto se adapta fácilmente a espacios de oficina pequeños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</si>
  <si>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</si>
  <si>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</si>
  <si>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</si>
  <si>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</si>
  <si>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</si>
  <si>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</si>
  <si>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</si>
  <si>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</si>
  <si>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</si>
  <si>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</si>
  <si>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MIPC</t>
  </si>
  <si>
    <t>https://www.mipcparquecentral.com/products/memoria-xpg-d35-ddr4-32-gb-3200mhz?variant=46002972426432&amp;country=CO&amp;currency=COP&amp;utm_medium=product_sync&amp;utm_source=google&amp;utm_content=sag_organic&amp;utm_campaign=sag_organic&amp;srsltid=AfmBOopONichciGesEJusFO7Sp86b26YgF3Criqx9huTkHEweAG_EUJcte0</t>
  </si>
  <si>
    <t>Memoria XPG Spectrix D35G DDR4 32 GB 3200MHz</t>
  </si>
  <si>
    <t>La XPG Spectrix D35G DDR4 RGB de 32GB combina un rendimiento excepcional con un diseño compacto y elegante que transformará tu experiencia en juegos y multitarea</t>
  </si>
  <si>
    <t>https://www.mercadolibre.com.co/memoria-ram-timetec-8gb-1x8-ddr4-3200mhz-sodimm/up/MCOU3331207211?matt_tool=19390127&amp;utm_source=google_shopping&amp;utm_medium=organic&amp;pdp_filters=item_id%3AMCO2980268356&amp;from=gshop</t>
  </si>
  <si>
    <t xml:space="preserve">Memoria Ram Timetec 8gb 1x8 Ddr4 3200mhz SodimmMemoria Ram Timetec 8gb 1x8 Ddr4 3200mhz Sodimm
</t>
  </si>
  <si>
    <t>Optimizá el rendimiento de tu máquina con la tecnología DDR4.
Memoria con formato SODIMM.
Alcanza una velocidad de 3.2 GHz</t>
  </si>
  <si>
    <t>https://www.exito.com/memoria-portatil-crucial-basics-ddr4-3200-8gb-103248573-mp/p?idsku=103248573&amp;srsltid=AfmBOoogeyi4XtzG9WkJJVbW0gq9eRinfJgB3MNfQDr_n4H3_QtZaVBlN2U</t>
  </si>
  <si>
    <t>Memoria Portatil Crucial Basics Ddr4 3200 8Gb</t>
  </si>
  <si>
    <t>MEMORIA PARA PORTATIL DDR4 3200 16GB GB8GS3200 CRUCIAL. Aumenta el rendimiento de tu portátil con esta memoria RAM Crucial de 16GB DDR4 3200MHz SODIMM.</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</si>
  <si>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</si>
  <si>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</si>
  <si>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</si>
  <si>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</si>
  <si>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</si>
  <si>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</si>
  <si>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</si>
  <si>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</si>
  <si>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</si>
  <si>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</si>
  <si>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tarjeta-de-video-g210-1gb-ddr3-hdmi-pci-e/p/MCO36538858?pdp_filters=item_id:MCO2359750672#is_advertising=true&amp;searchVariation=MCO36538858&amp;position=2&amp;search_layout=stack&amp;type=pad&amp;tracking_id=9a9fe571-d45a-45cd-bdf6-b4a7012b264a&amp;is_advertising=true&amp;ad_domain=VQCATCORE_LST&amp;ad_position=2&amp;ad_click_id=ODFlYTdmN2EtZGVhMS00ZTkyLWE1NzctZjU0MjNlODc2M2E0</t>
  </si>
  <si>
    <t>Tarjeta De Video G210 1gb Ddr3 Hdmi Pci E</t>
  </si>
  <si>
    <t>Este componente electrónico procesa la información que llega al dispositivo y los transforma en imágenes o videos para mostrarla visualmente</t>
  </si>
  <si>
    <t xml:space="preserve">CLONES Y PERIFERICOS </t>
  </si>
  <si>
    <t>https://clonesyperifericos.com/comprar/tarjeta-xfx-amd-radeon-rx-580-gts-edicion-xxx-8gb/</t>
  </si>
  <si>
    <t>TARJETA XFX AMD RADEON RX 580 GTS EDICIÓN XXX 8GB</t>
  </si>
  <si>
    <t>Compatibilidad con Microsoft® DirectX™ 12</t>
  </si>
  <si>
    <t xml:space="preserve">COMPULAGO </t>
  </si>
  <si>
    <t>https://www.compulago.com/producto/tarjeta-video-20-gb-ddr5-asrock-phantom-gaming-rx-550-1102336897/</t>
  </si>
  <si>
    <t>TARJETA VIDEO 2.0 GB DDR5 ASROCK PHANTOM GAMING RX 550</t>
  </si>
  <si>
    <t>Processador Gráfico AMD Radeon RX 550, PCI Express x16 Gen3 (usa x8), DirectX 12, OpenGL 4.5, Ddr5 2GB, reloj del procesador Hasta 1183MHz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</si>
  <si>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</si>
  <si>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</si>
  <si>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</si>
  <si>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</si>
  <si>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</si>
  <si>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</si>
  <si>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</si>
  <si>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</si>
  <si>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</si>
  <si>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</si>
  <si>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TIGERTECH</t>
  </si>
  <si>
    <t>https://tigercomputadores.com/producto/procesador-amd-ryzen-5-5600gt-am4/?srsltid=AfmBOoqNq7ij4bi_BHj5Xsv-wvgufGETRZWXxH6Jkx0ZJgc1AUVRv8MiSPk</t>
  </si>
  <si>
    <t>PROCESADOR AMD RYZEN 5 5600GT AM4</t>
  </si>
  <si>
    <t xml:space="preserve">Procesador: Ryzen 5 5600gt
Nucleos: 8
Hilos: 12
Frecuencia Maxima:  4.6 Ghz
Socket: AM4
Tdp: 65W
</t>
  </si>
  <si>
    <t>ENJOYVIDEOGAMES</t>
  </si>
  <si>
    <t>https://enjoyvideogames.com.co/product/procesador-amd-ryzen-9-7900x-zen-4-12-core-4-7-ghz-socket-am5-170w/</t>
  </si>
  <si>
    <t>Procesador AMD Ryzen 9 7900X – Zen 4 12-Core 4.7 GHz – Socket AM5 – 170W</t>
  </si>
  <si>
    <t>El AMD Ryzen™ 9 7900X es un procesador de alto rendimiento con 12 núcleos y 24 hilos, diseñado para quienes exigen lo mejor en gaming, creación de contenido y productividad. Con una velocidad base de 4.7 GHz y una frecuencia máxima de hasta 5.6 GHz, ofrece una experiencia fluida incluso en tareas intensivas. Fabricado con la avanzada arquitectura Zen 4 de 5 nm, este procesador incorpora gráficos integrados AMD Radeon™, soporte para DDR5, tecnología PCIe 5.0 y una caché L3 de 64 MB, garantizando velocidad, eficiencia y compatibilidad con los estándares más recientes.</t>
  </si>
  <si>
    <t>https://www.mercadolibre.com.co/procesador-intel-core-i5-14600k-lga1700-bx8071514600k/p/MCO29149408?pdp_filters=item_id:MCO1626711841#polycard_client=recommendations_pdp-pads-up&amp;reco_backend=recomm_platform_base_merge_pads_rfa&amp;reco_model=search_recos_backend_merge&amp;reco_client=pdp-pads-up&amp;reco_item_pos=1&amp;reco_backend_type=low_level&amp;reco_id=db97ec5f-d5ea-44cd-88a1-56b82c8e6eaa&amp;wid=MCO1626711841&amp;sid=recos&amp;is_advertising=true&amp;ad_domain=PDPDESKTOP_UP&amp;ad_position=2&amp;ad_click_id=MzNlOWJlMWItNDU0My00NzhhLWE5OWYtMGEzZjNmNDQ4ZmE3</t>
  </si>
  <si>
    <t>Procesador Intel Core I5 14600k Lga1700 Bx8071514600k</t>
  </si>
  <si>
    <t>Modelo: Intel Core i5 14600K.
Ejecute programas de edición de vídeo, creación de contenido, streaming y videojuegos sin afectar el rendimiento del dispositivo.
Memoria caché de 24 MB, rápida y volátil.
Procesador gráfico Intel UHD Graphics 770.
Soporta RAM DDR4.
Enchufes compatibles: LGA1700.</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</si>
  <si>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</si>
  <si>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</si>
  <si>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</si>
  <si>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</si>
  <si>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</si>
  <si>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</si>
  <si>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</si>
  <si>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</si>
  <si>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</si>
  <si>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</si>
  <si>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https://www.ktronix.com/teclado-logitech-inalambrico-bluetooth-k380s-negro/p/097855186201?utm_source=google&amp;utm_medium=organic&amp;utm_campaign=Shopping-organico&amp;srsltid=AfmBOopJGACbubSRjv0glyzajPwyixc81SOBu4ywzh_iocJhB5nOrVbc3JI</t>
  </si>
  <si>
    <t>El teclado K380s hace que cualquier espacio sea minimalista, moderno y multidispositivo permitiéndote escribir en tu Celular, Tablet, Portátil. Además, puedes conectarlo con tres dispositivos Bluetooth al mismo tiempo y cambiar de uno a otro al instante. El K380 multidispositivo es compacto, ligero y detecta automáticamente tu dispositivo, asigna teclas y proporciona una experiencia de escritura familiar con todos tus accesos directos favoritos. Ahora puedes crear tu propio espacio, en cualquier dispositivo y en cualquier lugar ¡Compralo AHORA!</t>
  </si>
  <si>
    <t>https://www.mercadolibre.com.co/teclado-redragon-kumara-qwerty-outemu-blue-ingles-us-color-negro-con-luz-rgb/p/MCO15104219?matt_tool=19390127&amp;utm_source=google_shopping&amp;utm_medium=organic&amp;pdp_filters=item_id%3AMCO836937853&amp;from=gshop</t>
  </si>
  <si>
    <t>Teclado Redragon Kumara QWERTY Outemu Blue inglés US color negro con luz RGB</t>
  </si>
  <si>
    <t xml:space="preserve">Este teclado Redragon es el mejor complemento para hacer todo tipo de actividades. Es cómodo y práctico al momento de redactar documentos, navegar y hacer búsquedas por internet, ya sea en tu trabajo o en la comodidad del hogar.
</t>
  </si>
  <si>
    <t>https://www.mercadolibre.com.co/teclado-alambrico-pequeno-80-jyr-tmjr-028-espanol-comodo-teclado-negro/p/MCO57432151?matt_tool=19390127&amp;utm_source=google_shopping&amp;utm_medium=organic&amp;pdp_filters=item_id%3AMCO1679633905&amp;from=gshop</t>
  </si>
  <si>
    <t>Teclado Alambrico Pequeño 80% Jyr Tmjr - 028 Español Comodo Teclado Negro</t>
  </si>
  <si>
    <t>El teclado alámbrico pequeño 80% JYR TMJR-028 es la opción ideal para quienes buscan un dispositivo compacto y funcional sin sacrificar la comodidad. Su diseño QWERTY ofrece una distribución familiar de teclas, lo que facilita la escritura y mejora la productividad. Además, el tamaño reducido de 35.0 cm de ancho y 15.0 cm de profundidad lo convierte en un aliado perfecto para espacios de trabajo limitados, manteniendo un entorno ordenado.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</si>
  <si>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</si>
  <si>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</si>
  <si>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</si>
  <si>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</si>
  <si>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</si>
  <si>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</si>
  <si>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</si>
  <si>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</si>
  <si>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</si>
  <si>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</si>
  <si>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</si>
  <si>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https://www.mercadolibre.com.co/mouse-genius-dx-120-usb-alambrico-negro/p/MCO6280151?matt_tool=19390127&amp;utm_source=google_shopping&amp;utm_medium=organic&amp;pdp_filters=item_id%3AMCO879341665&amp;from=gshop</t>
  </si>
  <si>
    <t xml:space="preserve">Mouse Genius DX-120 USB Alambrico NegroMouse Genius DX-120 USB Alambrico Negro
</t>
  </si>
  <si>
    <t xml:space="preserve">
Mouse Genius DX-120 USB Alambrico Negro
</t>
  </si>
  <si>
    <t>https://www.panamericana.com.co/mouse-gaming-alambrico-darkweb-rgb-negro-664710/p?idsku=664710&amp;srsltid=AfmBOop7Acj_YWmQkzfBRj1GFu25-vLYdbxedRjynHJ-r88-qOr4TnkBuKI</t>
  </si>
  <si>
    <t>Mouse gaming alámbrico Darkweb RGB negro</t>
  </si>
  <si>
    <t>Conexión por cable para un mejor rendimiento</t>
  </si>
  <si>
    <t>HOMECENTER</t>
  </si>
  <si>
    <t>https://www.homecenter.com.co/homecenter-co/product/795458/mouse-ergonomico-recargable-conexion-inalambrica/795458/</t>
  </si>
  <si>
    <t>Mouse Ergonómico Recargable Conexión Inalámbrica</t>
  </si>
  <si>
    <t>Diseño ergonómico de tamaño compacto y liviano, Conexión inalámbrica dual, Conexión 2.4 GHz a través de receptor USB-A 2.0, Conexión bluetooth 3.0 y 5.2,</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</si>
  <si>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</si>
  <si>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</si>
  <si>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</si>
  <si>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</si>
  <si>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</si>
  <si>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</si>
  <si>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</si>
  <si>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</si>
  <si>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</si>
  <si>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</si>
  <si>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SYSTORE COLOMBIA </t>
  </si>
  <si>
    <t>https://systorecolombia.com/59-windows</t>
  </si>
  <si>
    <t>MICROSOFT WINDOWS 10 PROFESIONAL A 64 BITS OEM FQC-08981</t>
  </si>
  <si>
    <t>Windows 10 es un sistema operativo de computadora personal desarrollado y lanzado por Microsoft como parte de la familia de sistemas operativos Windows NT</t>
  </si>
  <si>
    <t>https://systorecolombia.com/windows/942-microsoft-windows-11-profesional-ggk-kit-de-legalizacion-64-bits-oem-4yr-00229.html</t>
  </si>
  <si>
    <t>Microsoft Windows 11 Profesional GGK Kit de Legalización 64 Bits Oem 4YR-00229</t>
  </si>
  <si>
    <t>Licencia para equipo usado, no transferible, muere con la maquina, incluye DVD de instalación</t>
  </si>
  <si>
    <t>https://systorecolombia.com/windows/643-microsoft-windows-10-profesional-a-64-bits-usb-transferible-fqc-08788.html</t>
  </si>
  <si>
    <t>Microsoft Windows 10 Profesional a 64 Bits Usb Transferible Fqc-08788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</si>
  <si>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</si>
  <si>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</si>
  <si>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</si>
  <si>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</si>
  <si>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</si>
  <si>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</si>
  <si>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</si>
  <si>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</si>
  <si>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</si>
  <si>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</si>
  <si>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Digital licence</t>
  </si>
  <si>
    <t>https://digital-licencia.com/producto/licencia-visual-studio-2022-enterprise/</t>
  </si>
  <si>
    <t>Licencia Visual Studio 2022 Enterprise</t>
  </si>
  <si>
    <t>Visual Studio Professional 2022 es la herramienta indispensable para desarrolladores que buscan maximizar su productividad y crear aplicaciones de alta calidad. Con características avanzadas de depuración, pruebas y colaboración, esta versión te brinda todo lo que necesitas para llevar a cabo tus proyectos con éxito. Además, como parte de la suscripción anual NFP, tendrás acceso a las últimas actualizaciones y soporte técnico de Microsoft. ¡Potencia tu desarrollo con Visual Studio Professional 2022</t>
  </si>
  <si>
    <t>lasus</t>
  </si>
  <si>
    <t>https://lasus.com.co/es/estudio-visual-profesional-2022-nce-nfp-bas-per-1tm?srsltid=AfmBOoqYV2VGafQTsRmKf9MzfNlKkRFs437tQq9K3b88_UaeydpagstE</t>
  </si>
  <si>
    <t>Microsoft Visual Studio Professional 2022</t>
  </si>
  <si>
    <t>Visual Studio Professional 2022 es la herramienta indispensable para desarrolladores que buscan maximizar su productividad y crear aplicaciones de alta calidad. Con características avanzadas de depuración, pruebas y colaboración, esta versión te brinda todo lo que necesitas para llevar a cabo tus proyectos con éxito. Además, como parte de la suscripción anual NFP, tendrás acceso a las últimas actualizaciones y soporte técnico de Microsoft. ¡Potencia tu desarrollo con Visual Studio Professional 2022!</t>
  </si>
  <si>
    <t xml:space="preserve">MICROSOFT </t>
  </si>
  <si>
    <t>https://visualstudio.microsoft.com/es/vs/pricing/?tab=paid-subscriptions</t>
  </si>
  <si>
    <t xml:space="preserve">LICENCIA VISUAL </t>
  </si>
  <si>
    <t>Visual Studio 2022 Professional
Azure DevOps (plan básico)
50 USD de crédito de Azure al mes
Software básico de desarrollo y pruebas
Entrenamiento y soporte técnico
y más</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</si>
  <si>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</si>
  <si>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</si>
  <si>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</si>
  <si>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</si>
  <si>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</si>
  <si>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</si>
  <si>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</si>
  <si>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</si>
  <si>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</si>
  <si>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TUS LICENCIAS</t>
  </si>
  <si>
    <t>https://tulicencias.com/product/windows-11-pro/?currency=COP&amp;utm_id=22950947926&amp;utm_source=google&amp;utm_medium=cpc&amp;utm_device=c&amp;gad_source=4&amp;gad_campaignid=22950947926&amp;gbraid=0AAAAA9_hf_CPsjkw3LGOXHJOLMoIL8LT1&amp;gclid=CjwKCAjw3tzHBhBREiwAlMJoUs07rkE_6cI-hWDd_7R958utownV54XsvoYiuDKlKk9zaKtj8J0rMhoCvpAQAvD_BwE</t>
  </si>
  <si>
    <t>Windows 11 Pro</t>
  </si>
  <si>
    <t>Descubre un nuevo nivel de productividad y seguridad con Windows 11 Pro, el sistema operativo de Microsoft diseñado para usuarios profesionales y empresas. Combinando funcionalidad, rendimiento y protección, Windows 11 Pro ofrece una experiencia optimizada con una interfaz moderna y herramientas avanzadas que te ayudarán a maximizar tu eficiencia y mantener tus datos seguros.</t>
  </si>
  <si>
    <t>ENEBA</t>
  </si>
  <si>
    <t>https://www.eneba.com/es/microsoft-windows-microsoft-windows-11-oem-home-key-global/digital-imperium?product=digital&amp;currency=COP&amp;utm_adid=&amp;utm_campaign=&amp;utm_content=&amp;utm_source=google-ads&amp;utm_term=&amp;gad_source=4&amp;gad_campaignid=19499769054&amp;gbraid=0AAAAAC5HeFzrTY3C-MHIZE8_MQlxttHdG&amp;gclid=CjwKCAjw3tzHBhBREiwAlMJoUtdT2yrJ2do5d45cVijTTrpJ2XzZ0iKvxVPZr4fdr4DWmm7eUtkHaRoC9yMQAvD_BwE</t>
  </si>
  <si>
    <t>Today, digital life touches everything – from work and school to entertainment and creativity – your operating system plays a more vital role than ever before. Windows 11 Home is designed to deliver a beautiful, intuitive, and responsive experience for everyday users. It’s a platform that doesn’t just look and feel modern – it works smarter, faster, and more securely behind the scenes. When you’re activating a new device, a Windows 11 Home key is the first step in unleashing everything the OS has to offer.</t>
  </si>
  <si>
    <t xml:space="preserve"> COLOMBIA KEYS</t>
  </si>
  <si>
    <t>https://colombiakeys.com/producto/windows-11-pro-oem/?srsltid=AfmBOopFZIxUivDQl5yb2yenyT-kjQmm49wGIbELcB54fFxni3S73itayJw</t>
  </si>
  <si>
    <t>La clave funcionará en un Windows 11 Pro inactivo que funcione o en una instalación limpia de Windows 11 Pro.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</si>
  <si>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</si>
  <si>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</si>
  <si>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</si>
  <si>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</si>
  <si>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</si>
  <si>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</si>
  <si>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</si>
  <si>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</si>
  <si>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</si>
  <si>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</si>
  <si>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Lasus</t>
  </si>
  <si>
    <t>Licencia de dispositivo SQL Server 2022 - 1 CAL</t>
  </si>
  <si>
    <t xml:space="preserve"> Garcia comunicaciones </t>
  </si>
  <si>
    <t>https://systorecolombia.com/server/252-licencia-sql-server-standard-2019-perpetua-dg7gmgf0fkx9.html</t>
  </si>
  <si>
    <t>Licencia SQL Server Standard 2019 Perpetua DG7GMGF0FKX9</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</si>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</sst>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
    <numFmt numFmtId="165" formatCode="_-[$$-240A]\ * #,##0.00_-;\-[$$-240A]\ * #,##0.00_-;_-[$$-240A]\ * &quot;-&quot;??_-;_-@"/>
    <numFmt numFmtId="166" formatCode="_([$$-409]* #,##0.00_);_([$$-409]* \(#,##0.00\);_([$$-409]* &quot;-&quot;??_);_(@_)"/>
    <numFmt numFmtId="167" formatCode="_-[$$-409]* #,##0.00_ ;_-[$$-409]* \-#,##0.00\ ;_-[$$-409]* &quot;-&quot;??_ ;_-@_ "/>
    <numFmt numFmtId="168" formatCode="&quot;$&quot;#,##0"/>
    <numFmt numFmtId="169" formatCode="&quot;$&quot;#,##0_);[Red]\(&quot;$&quot;#,##0\)"/>
    <numFmt numFmtId="170" formatCode="&quot;$&quot;#,##0.00_);[Red]\(&quot;$&quot;#,##0.00\)"/>
    <numFmt numFmtId="171" formatCode="_(&quot;$&quot;* #,##0.00_);_(&quot;$&quot;* \(#,##0.00\);_(&quot;$&quot;* &quot;-&quot;??_);_(@_)"/>
    <numFmt numFmtId="172" formatCode="_-* #,##0.00_-;\-* #,##0.00_-;_-* &quot;-&quot;??_-;_-@"/>
  </numFmts>
  <fonts count="51">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rgb="FF0000FF"/>
      <name val="Arial"/>
    </font>
    <font>
      <sz val="10.0"/>
      <color rgb="FF000000"/>
      <name val="Arial"/>
    </font>
    <font>
      <u/>
      <sz val="10.0"/>
      <color rgb="FF000000"/>
      <name val="Trebuchet MS"/>
    </font>
    <font>
      <sz val="10.0"/>
      <color theme="1"/>
      <name val="Trebuchet MS"/>
    </font>
    <font>
      <sz val="10.0"/>
      <color theme="1"/>
      <name val="Proxima Nova"/>
    </font>
    <font>
      <sz val="10.0"/>
      <color rgb="FF231F20"/>
      <name val="Trebuchet MS"/>
    </font>
    <font>
      <sz val="10.0"/>
      <color rgb="FF3C4B71"/>
      <name val="Arial"/>
    </font>
    <font>
      <sz val="10.0"/>
      <color theme="1"/>
      <name val="Open Sans"/>
    </font>
    <font>
      <sz val="10.0"/>
      <color rgb="FF222222"/>
      <name val="Arial"/>
    </font>
    <font>
      <sz val="10.0"/>
      <color theme="1"/>
      <name val="Montserrat"/>
    </font>
    <font>
      <sz val="10.0"/>
      <color theme="1"/>
      <name val="Arial Narrow"/>
    </font>
    <font>
      <b/>
      <u/>
      <sz val="10.0"/>
      <color theme="1"/>
      <name val="Arial"/>
    </font>
    <font>
      <u/>
      <sz val="10.0"/>
      <color rgb="FF0000FF"/>
      <name val="Arial"/>
    </font>
    <font>
      <u/>
      <sz val="10.0"/>
      <color rgb="FF000000"/>
      <name val="Arial"/>
    </font>
    <font>
      <u/>
      <sz val="10.0"/>
      <color rgb="FF0000FF"/>
      <name val="Arial"/>
    </font>
    <font>
      <sz val="10.0"/>
      <color rgb="FF444444"/>
      <name val="Arial"/>
    </font>
    <font>
      <color theme="1"/>
      <name val="Arial"/>
      <scheme val="minor"/>
    </font>
    <font>
      <b/>
      <u/>
      <sz val="10.0"/>
      <color theme="1"/>
      <name val="Trebuchet MS"/>
    </font>
    <font>
      <u/>
      <sz val="10.0"/>
      <color rgb="FF1155CC"/>
      <name val="Arial"/>
    </font>
    <font>
      <sz val="10.0"/>
      <color rgb="FF231F20"/>
      <name val="Arial"/>
    </font>
    <font>
      <sz val="10.0"/>
      <color rgb="FF333333"/>
      <name val="Arial"/>
    </font>
    <font>
      <u/>
      <sz val="10.0"/>
      <color rgb="FF000000"/>
      <name val="Arial"/>
    </font>
    <font>
      <sz val="10.0"/>
      <color rgb="FF4A4A4A"/>
      <name val="Arial"/>
    </font>
    <font>
      <u/>
      <sz val="10.0"/>
      <color theme="10"/>
      <name val="Arial"/>
    </font>
    <font>
      <b/>
      <sz val="10.0"/>
      <color rgb="FF333E48"/>
      <name val="Arial"/>
    </font>
    <font>
      <sz val="10.0"/>
      <color rgb="FF333E48"/>
      <name val="Arial"/>
    </font>
    <font>
      <u/>
      <sz val="10.0"/>
      <color rgb="FF000000"/>
      <name val="Arial"/>
    </font>
    <font>
      <u/>
      <sz val="10.0"/>
      <color rgb="FF000000"/>
      <name val="Arial"/>
    </font>
    <font>
      <sz val="10.0"/>
      <color rgb="FF0F1111"/>
      <name val="Arial"/>
    </font>
    <font>
      <u/>
      <sz val="10.0"/>
      <color theme="10"/>
      <name val="Arial"/>
    </font>
    <font>
      <u/>
      <sz val="10.0"/>
      <color theme="1"/>
      <name val="Arial"/>
    </font>
    <font>
      <u/>
      <sz val="10.0"/>
      <color theme="1"/>
      <name val="Arial"/>
    </font>
    <font>
      <u/>
      <sz val="10.0"/>
      <color theme="1"/>
      <name val="Arial"/>
    </font>
    <font>
      <u/>
      <sz val="10.0"/>
      <color rgb="FF0000FF"/>
      <name val="Arial"/>
    </font>
    <font>
      <b/>
      <u/>
      <sz val="10.0"/>
      <color theme="1"/>
      <name val="Trebuchet MS"/>
    </font>
    <font>
      <u/>
      <sz val="10.0"/>
      <color rgb="FF0000FF"/>
      <name val="Arial"/>
    </font>
    <font>
      <u/>
      <sz val="10.0"/>
      <color theme="1"/>
      <name val="Arial"/>
    </font>
    <font>
      <sz val="9.0"/>
      <color theme="1"/>
      <name val="Arial"/>
    </font>
    <font>
      <u/>
      <sz val="9.0"/>
      <color theme="1"/>
      <name val="Arial"/>
    </font>
    <font>
      <u/>
      <sz val="10.0"/>
      <color rgb="FF0000FF"/>
      <name val="Arial"/>
    </font>
    <font>
      <u/>
      <sz val="10.0"/>
      <color theme="1"/>
      <name val="Arial"/>
    </font>
    <font>
      <u/>
      <sz val="10.0"/>
      <color rgb="FF0000FF"/>
      <name val="Arial"/>
    </font>
  </fonts>
  <fills count="17">
    <fill>
      <patternFill patternType="none"/>
    </fill>
    <fill>
      <patternFill patternType="lightGray"/>
    </fill>
    <fill>
      <patternFill patternType="solid">
        <fgColor rgb="FFFF00FF"/>
        <bgColor rgb="FFFF00FF"/>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1C232"/>
        <bgColor rgb="FFF1C232"/>
      </patternFill>
    </fill>
    <fill>
      <patternFill patternType="solid">
        <fgColor rgb="FFF5F5F5"/>
        <bgColor rgb="FFF5F5F5"/>
      </patternFill>
    </fill>
    <fill>
      <patternFill patternType="solid">
        <fgColor rgb="FF274E13"/>
        <bgColor rgb="FF274E13"/>
      </patternFill>
    </fill>
    <fill>
      <patternFill patternType="solid">
        <fgColor rgb="FF990000"/>
        <bgColor rgb="FF990000"/>
      </patternFill>
    </fill>
    <fill>
      <patternFill patternType="solid">
        <fgColor rgb="FF85200C"/>
        <bgColor rgb="FF85200C"/>
      </patternFill>
    </fill>
    <fill>
      <patternFill patternType="solid">
        <fgColor rgb="FFBF9000"/>
        <bgColor rgb="FFBF9000"/>
      </patternFill>
    </fill>
    <fill>
      <patternFill patternType="solid">
        <fgColor rgb="FF38761D"/>
        <bgColor rgb="FF38761D"/>
      </patternFill>
    </fill>
    <fill>
      <patternFill patternType="solid">
        <fgColor rgb="FFEFEFEF"/>
        <bgColor rgb="FFEFEFEF"/>
      </patternFill>
    </fill>
    <fill>
      <patternFill patternType="solid">
        <fgColor rgb="FFF8F8F8"/>
        <bgColor rgb="FFF8F8F8"/>
      </patternFill>
    </fill>
    <fill>
      <patternFill patternType="solid">
        <fgColor rgb="FF660000"/>
        <bgColor rgb="FF660000"/>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readingOrder="0"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4" fillId="6" fontId="10" numFmtId="0" xfId="0" applyAlignment="1" applyBorder="1" applyFill="1" applyFont="1">
      <alignment horizontal="center" readingOrder="0" shrinkToFit="0" vertical="center" wrapText="1"/>
    </xf>
    <xf borderId="4" fillId="0" fontId="8" numFmtId="164" xfId="0" applyAlignment="1" applyBorder="1" applyFont="1" applyNumberFormat="1">
      <alignment horizontal="center" readingOrder="0" shrinkToFit="0" vertical="center" wrapText="1"/>
    </xf>
    <xf borderId="4" fillId="0" fontId="8" numFmtId="165" xfId="0" applyAlignment="1" applyBorder="1" applyFont="1" applyNumberFormat="1">
      <alignment horizontal="center" shrinkToFit="0" vertical="center" wrapText="1"/>
    </xf>
    <xf borderId="4" fillId="0" fontId="8" numFmtId="166" xfId="0" applyAlignment="1" applyBorder="1" applyFont="1" applyNumberFormat="1">
      <alignment horizontal="center" shrinkToFit="0" vertical="center" wrapText="1"/>
    </xf>
    <xf borderId="4" fillId="0" fontId="11" numFmtId="167" xfId="0" applyAlignment="1" applyBorder="1" applyFont="1" applyNumberFormat="1">
      <alignment horizontal="center" shrinkToFit="0" vertical="center" wrapText="1"/>
    </xf>
    <xf borderId="4" fillId="0" fontId="12" numFmtId="0" xfId="0" applyAlignment="1" applyBorder="1" applyFont="1">
      <alignment horizontal="center" shrinkToFit="0" vertical="top" wrapText="1"/>
    </xf>
    <xf borderId="6" fillId="6" fontId="13" numFmtId="0" xfId="0" applyAlignment="1" applyBorder="1" applyFont="1">
      <alignment horizontal="center" shrinkToFit="0" vertical="center" wrapText="1"/>
    </xf>
    <xf borderId="4" fillId="0" fontId="14" numFmtId="0" xfId="0" applyAlignment="1" applyBorder="1" applyFont="1">
      <alignment horizontal="center" readingOrder="0" shrinkToFit="0" vertical="center" wrapText="1"/>
    </xf>
    <xf borderId="4" fillId="6" fontId="15" numFmtId="0" xfId="0" applyAlignment="1" applyBorder="1" applyFont="1">
      <alignment horizontal="center" readingOrder="0" shrinkToFit="0" vertical="center" wrapText="1"/>
    </xf>
    <xf borderId="4" fillId="0" fontId="8" numFmtId="165" xfId="0" applyAlignment="1" applyBorder="1" applyFont="1" applyNumberFormat="1">
      <alignment horizontal="center" readingOrder="0" shrinkToFit="0" vertical="center" wrapText="1"/>
    </xf>
    <xf borderId="6" fillId="6" fontId="16"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6" fontId="17" numFmtId="0" xfId="0" applyAlignment="1" applyBorder="1" applyFont="1">
      <alignment horizontal="center" readingOrder="0" shrinkToFit="0" vertical="center" wrapText="1"/>
    </xf>
    <xf borderId="6" fillId="6" fontId="18" numFmtId="0" xfId="0" applyAlignment="1" applyBorder="1" applyFont="1">
      <alignment horizontal="center" readingOrder="0" shrinkToFit="0" vertical="center" wrapText="1"/>
    </xf>
    <xf borderId="4" fillId="0" fontId="1" numFmtId="0" xfId="0" applyBorder="1" applyFont="1"/>
    <xf borderId="4" fillId="0" fontId="12"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0" fillId="0" fontId="19" numFmtId="0" xfId="0" applyAlignment="1" applyFont="1">
      <alignment horizontal="center" shrinkToFit="0" vertical="center" wrapText="1"/>
    </xf>
    <xf borderId="0" fillId="0" fontId="1" numFmtId="0" xfId="0" applyFont="1"/>
    <xf borderId="0" fillId="0" fontId="2" numFmtId="0" xfId="0" applyAlignment="1" applyFont="1">
      <alignment horizontal="center" vertical="center"/>
    </xf>
    <xf borderId="1" fillId="7" fontId="2" numFmtId="0" xfId="0" applyAlignment="1" applyBorder="1" applyFill="1" applyFont="1">
      <alignment horizontal="center" shrinkToFit="0" vertical="center" wrapText="1"/>
    </xf>
    <xf borderId="4" fillId="0" fontId="4" numFmtId="0" xfId="0" applyAlignment="1" applyBorder="1" applyFont="1">
      <alignment horizontal="center" shrinkToFit="0" vertical="center" wrapText="1"/>
    </xf>
    <xf borderId="4" fillId="4" fontId="2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7" fillId="0" fontId="21" numFmtId="0" xfId="0" applyAlignment="1" applyBorder="1" applyFont="1">
      <alignment readingOrder="0" shrinkToFit="0" vertical="center" wrapText="1"/>
    </xf>
    <xf borderId="4" fillId="0" fontId="10" numFmtId="0" xfId="0" applyAlignment="1" applyBorder="1" applyFont="1">
      <alignment horizontal="center" readingOrder="0" shrinkToFit="0" vertical="center" wrapText="1"/>
    </xf>
    <xf borderId="4" fillId="0" fontId="10" numFmtId="168" xfId="0" applyAlignment="1" applyBorder="1" applyFont="1" applyNumberFormat="1">
      <alignment horizontal="center" readingOrder="0" shrinkToFit="0" vertical="center" wrapText="1"/>
    </xf>
    <xf borderId="4" fillId="0" fontId="10" numFmtId="164" xfId="0" applyAlignment="1" applyBorder="1" applyFont="1" applyNumberFormat="1">
      <alignment horizontal="center" shrinkToFit="0" vertical="center" wrapText="1"/>
    </xf>
    <xf borderId="4" fillId="0" fontId="1" numFmtId="166" xfId="0" applyAlignment="1" applyBorder="1" applyFont="1" applyNumberFormat="1">
      <alignment horizontal="center" shrinkToFit="0" vertical="center" wrapText="1"/>
    </xf>
    <xf borderId="4" fillId="6" fontId="22" numFmtId="167" xfId="0" applyAlignment="1" applyBorder="1" applyFont="1" applyNumberFormat="1">
      <alignment horizontal="center" shrinkToFit="0" vertical="center" wrapText="1"/>
    </xf>
    <xf borderId="4" fillId="0" fontId="10" numFmtId="0" xfId="0" applyAlignment="1" applyBorder="1" applyFont="1">
      <alignment horizontal="center" shrinkToFit="0" vertical="center" wrapText="1"/>
    </xf>
    <xf borderId="4" fillId="8" fontId="10" numFmtId="0" xfId="0" applyAlignment="1" applyBorder="1" applyFill="1" applyFont="1">
      <alignment readingOrder="0" shrinkToFit="0" vertical="center" wrapText="1"/>
    </xf>
    <xf borderId="1" fillId="0" fontId="10" numFmtId="0" xfId="0" applyAlignment="1" applyBorder="1" applyFont="1">
      <alignment horizontal="center" shrinkToFit="0" vertical="center" wrapText="1"/>
    </xf>
    <xf borderId="4" fillId="6" fontId="23" numFmtId="0" xfId="0" applyAlignment="1" applyBorder="1" applyFont="1">
      <alignment horizontal="center" readingOrder="0" shrinkToFit="0" vertical="center" wrapText="1"/>
    </xf>
    <xf borderId="6" fillId="6" fontId="24" numFmtId="0" xfId="0" applyAlignment="1" applyBorder="1" applyFont="1">
      <alignment horizontal="center" readingOrder="0" shrinkToFit="0" vertical="center" wrapText="1"/>
    </xf>
    <xf borderId="4" fillId="0" fontId="10" numFmtId="169" xfId="0" applyAlignment="1" applyBorder="1" applyFont="1" applyNumberFormat="1">
      <alignment horizontal="center" readingOrder="0" shrinkToFit="0" vertical="center" wrapText="1"/>
    </xf>
    <xf borderId="4" fillId="8" fontId="24" numFmtId="0" xfId="0" applyAlignment="1" applyBorder="1" applyFont="1">
      <alignment readingOrder="0" shrinkToFit="0" vertical="center" wrapText="1"/>
    </xf>
    <xf borderId="4" fillId="6" fontId="24" numFmtId="0" xfId="0" applyAlignment="1" applyBorder="1" applyFont="1">
      <alignment horizontal="center" readingOrder="0" shrinkToFit="0" vertical="center" wrapText="1"/>
    </xf>
    <xf borderId="0" fillId="0" fontId="25" numFmtId="0" xfId="0" applyAlignment="1" applyFont="1">
      <alignment readingOrder="0"/>
    </xf>
    <xf borderId="1" fillId="9" fontId="2" numFmtId="0" xfId="0" applyAlignment="1" applyBorder="1" applyFill="1" applyFont="1">
      <alignment horizontal="center" shrinkToFit="0" vertical="center" wrapText="1"/>
    </xf>
    <xf borderId="8" fillId="3" fontId="4"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8" fillId="4" fontId="26"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7" fillId="0" fontId="5" numFmtId="0" xfId="0" applyAlignment="1" applyBorder="1" applyFont="1">
      <alignment horizontal="center" readingOrder="0" shrinkToFit="0" vertical="center" wrapText="1"/>
    </xf>
    <xf borderId="4" fillId="0" fontId="27" numFmtId="0" xfId="0" applyAlignment="1" applyBorder="1" applyFont="1">
      <alignment horizontal="center" readingOrder="0" shrinkToFit="0" vertical="center" wrapText="1"/>
    </xf>
    <xf borderId="4" fillId="0" fontId="10" numFmtId="170" xfId="0" applyAlignment="1" applyBorder="1" applyFont="1" applyNumberFormat="1">
      <alignment horizontal="center" shrinkToFit="0" vertical="center" wrapText="1"/>
    </xf>
    <xf borderId="4" fillId="0" fontId="1" numFmtId="166" xfId="0" applyAlignment="1" applyBorder="1" applyFont="1" applyNumberFormat="1">
      <alignment horizontal="center" shrinkToFit="0" vertical="top" wrapText="1"/>
    </xf>
    <xf borderId="4" fillId="6" fontId="10" numFmtId="0" xfId="0" applyAlignment="1" applyBorder="1" applyFont="1">
      <alignment horizontal="center" readingOrder="0" shrinkToFit="0" wrapText="1"/>
    </xf>
    <xf borderId="4" fillId="0" fontId="28" numFmtId="0" xfId="0" applyAlignment="1" applyBorder="1" applyFont="1">
      <alignment horizontal="center" readingOrder="0" shrinkToFit="0" vertical="center" wrapText="1"/>
    </xf>
    <xf borderId="4" fillId="6" fontId="29" numFmtId="0" xfId="0" applyAlignment="1" applyBorder="1" applyFont="1">
      <alignment horizontal="center" readingOrder="0" shrinkToFit="0" vertical="center" wrapText="1"/>
    </xf>
    <xf borderId="4" fillId="6" fontId="29" numFmtId="0" xfId="0" applyAlignment="1" applyBorder="1" applyFont="1">
      <alignment horizontal="center" readingOrder="0" shrinkToFit="0" wrapText="1"/>
    </xf>
    <xf borderId="7" fillId="0" fontId="10"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7" fillId="0" fontId="10" numFmtId="169" xfId="0" applyAlignment="1" applyBorder="1" applyFont="1" applyNumberFormat="1">
      <alignment horizontal="center" readingOrder="0" shrinkToFit="0" vertical="center" wrapText="1"/>
    </xf>
    <xf borderId="7" fillId="0" fontId="10" numFmtId="0" xfId="0" applyAlignment="1" applyBorder="1" applyFont="1">
      <alignment horizontal="center" shrinkToFit="0" vertical="center" wrapText="1"/>
    </xf>
    <xf borderId="10" fillId="0" fontId="3" numFmtId="0" xfId="0" applyBorder="1" applyFont="1"/>
    <xf borderId="4" fillId="0" fontId="1" numFmtId="0" xfId="0" applyAlignment="1" applyBorder="1" applyFont="1">
      <alignment horizontal="left" shrinkToFit="0" vertical="top" wrapText="1"/>
    </xf>
    <xf borderId="0" fillId="10" fontId="25" numFmtId="0" xfId="0" applyAlignment="1" applyFill="1" applyFont="1">
      <alignment readingOrder="0"/>
    </xf>
    <xf borderId="1" fillId="11" fontId="2" numFmtId="0" xfId="0" applyAlignment="1" applyBorder="1" applyFill="1" applyFont="1">
      <alignment horizontal="center" shrinkToFit="0" vertical="center" wrapText="1"/>
    </xf>
    <xf borderId="1" fillId="0" fontId="4" numFmtId="0" xfId="0" applyAlignment="1" applyBorder="1" applyFont="1">
      <alignment horizontal="center" vertical="center"/>
    </xf>
    <xf borderId="4" fillId="6" fontId="10" numFmtId="165" xfId="0" applyAlignment="1" applyBorder="1" applyFont="1" applyNumberFormat="1">
      <alignment horizontal="center" readingOrder="0" shrinkToFit="0" vertical="center" wrapText="1"/>
    </xf>
    <xf borderId="4" fillId="0" fontId="10" numFmtId="165" xfId="0" applyAlignment="1" applyBorder="1" applyFont="1" applyNumberFormat="1">
      <alignment horizontal="center" shrinkToFit="0" vertical="center" wrapText="1"/>
    </xf>
    <xf borderId="4" fillId="0" fontId="10" numFmtId="166" xfId="0" applyAlignment="1" applyBorder="1" applyFont="1" applyNumberFormat="1">
      <alignment horizontal="center" shrinkToFit="0" vertical="top" wrapText="1"/>
    </xf>
    <xf borderId="4" fillId="6" fontId="30" numFmtId="167" xfId="0" applyAlignment="1" applyBorder="1" applyFont="1" applyNumberFormat="1">
      <alignment horizontal="center" readingOrder="0" shrinkToFit="0" vertical="center" wrapText="1"/>
    </xf>
    <xf borderId="4" fillId="6" fontId="24" numFmtId="0" xfId="0" applyAlignment="1" applyBorder="1" applyFont="1">
      <alignment horizontal="center" shrinkToFit="0" vertical="center" wrapText="1"/>
    </xf>
    <xf borderId="4" fillId="6" fontId="10" numFmtId="165" xfId="0" applyAlignment="1" applyBorder="1" applyFont="1" applyNumberFormat="1">
      <alignment horizontal="center" shrinkToFit="0" vertical="center" wrapText="1"/>
    </xf>
    <xf borderId="4" fillId="0" fontId="10" numFmtId="165" xfId="0" applyAlignment="1" applyBorder="1" applyFont="1" applyNumberFormat="1">
      <alignment horizontal="center" readingOrder="0" shrinkToFit="0" vertical="center" wrapText="1"/>
    </xf>
    <xf borderId="10" fillId="0" fontId="12" numFmtId="0" xfId="0" applyAlignment="1" applyBorder="1" applyFont="1">
      <alignment horizontal="left" shrinkToFit="0" vertical="top" wrapText="1"/>
    </xf>
    <xf borderId="0" fillId="2" fontId="25" numFmtId="0" xfId="0" applyAlignment="1" applyFont="1">
      <alignment readingOrder="0"/>
    </xf>
    <xf borderId="9" fillId="5" fontId="4" numFmtId="166" xfId="0" applyAlignment="1" applyBorder="1" applyFont="1" applyNumberFormat="1">
      <alignment horizontal="center" shrinkToFit="0" vertical="center" wrapText="1"/>
    </xf>
    <xf borderId="4" fillId="0" fontId="28" numFmtId="0" xfId="0" applyAlignment="1" applyBorder="1" applyFont="1">
      <alignment horizontal="center" shrinkToFit="0" vertical="center" wrapText="1"/>
    </xf>
    <xf borderId="0" fillId="7" fontId="2" numFmtId="0" xfId="0" applyAlignment="1" applyFont="1">
      <alignment horizontal="center" vertical="center"/>
    </xf>
    <xf borderId="1" fillId="0" fontId="2" numFmtId="0" xfId="0" applyAlignment="1" applyBorder="1" applyFont="1">
      <alignment horizontal="center" shrinkToFit="0" vertical="center" wrapText="1"/>
    </xf>
    <xf borderId="4" fillId="6" fontId="31" numFmtId="165" xfId="0" applyAlignment="1" applyBorder="1" applyFont="1" applyNumberFormat="1">
      <alignment horizontal="center" readingOrder="0" shrinkToFit="0" vertical="center" wrapText="1"/>
    </xf>
    <xf borderId="4" fillId="6" fontId="29" numFmtId="0" xfId="0" applyAlignment="1" applyBorder="1" applyFont="1">
      <alignment readingOrder="0" shrinkToFit="0" vertical="center" wrapText="1"/>
    </xf>
    <xf borderId="4" fillId="6" fontId="1" numFmtId="165" xfId="0" applyAlignment="1" applyBorder="1" applyFont="1" applyNumberFormat="1">
      <alignment horizontal="center" readingOrder="0" shrinkToFit="0" vertical="center" wrapText="1"/>
    </xf>
    <xf borderId="7" fillId="0" fontId="28" numFmtId="0" xfId="0" applyAlignment="1" applyBorder="1" applyFont="1">
      <alignment horizontal="center" shrinkToFit="0" vertical="center" wrapText="1"/>
    </xf>
    <xf borderId="7" fillId="0" fontId="10" numFmtId="165" xfId="0" applyAlignment="1" applyBorder="1" applyFont="1" applyNumberFormat="1">
      <alignment horizontal="center" readingOrder="0" shrinkToFit="0" vertical="center" wrapText="1"/>
    </xf>
    <xf borderId="7" fillId="0" fontId="10" numFmtId="165" xfId="0" applyAlignment="1" applyBorder="1" applyFont="1" applyNumberFormat="1">
      <alignment horizontal="center" shrinkToFit="0" vertical="center" wrapText="1"/>
    </xf>
    <xf borderId="4" fillId="0" fontId="10" numFmtId="0" xfId="0" applyAlignment="1" applyBorder="1" applyFont="1">
      <alignment horizontal="left" readingOrder="0" shrinkToFit="0" vertical="center" wrapText="1"/>
    </xf>
    <xf borderId="1" fillId="0" fontId="1" numFmtId="0" xfId="0" applyBorder="1" applyFont="1"/>
    <xf borderId="4" fillId="0" fontId="32" numFmtId="0" xfId="0" applyAlignment="1" applyBorder="1" applyFont="1">
      <alignment horizontal="center" shrinkToFit="0" vertical="center" wrapText="1"/>
    </xf>
    <xf borderId="4" fillId="6" fontId="10" numFmtId="0" xfId="0" applyAlignment="1" applyBorder="1" applyFont="1">
      <alignment horizontal="center" shrinkToFit="0" vertical="center" wrapText="1"/>
    </xf>
    <xf borderId="4" fillId="6" fontId="33" numFmtId="0" xfId="0" applyAlignment="1" applyBorder="1" applyFont="1">
      <alignment horizontal="center" shrinkToFit="0" vertical="center" wrapText="1"/>
    </xf>
    <xf borderId="4" fillId="6" fontId="34" numFmtId="0" xfId="0" applyAlignment="1" applyBorder="1" applyFont="1">
      <alignment horizontal="center" shrinkToFit="0" vertical="center" wrapText="1"/>
    </xf>
    <xf borderId="4" fillId="0" fontId="35" numFmtId="0" xfId="0" applyAlignment="1" applyBorder="1" applyFont="1">
      <alignment horizontal="center" readingOrder="0" shrinkToFit="0" vertical="center" wrapText="1"/>
    </xf>
    <xf borderId="5" fillId="6" fontId="36" numFmtId="167" xfId="0" applyAlignment="1" applyBorder="1" applyFont="1" applyNumberFormat="1">
      <alignment horizontal="center" shrinkToFit="0" vertical="center" wrapText="1"/>
    </xf>
    <xf borderId="4" fillId="0" fontId="10" numFmtId="0" xfId="0" applyAlignment="1" applyBorder="1" applyFont="1">
      <alignment horizontal="center" vertical="center"/>
    </xf>
    <xf borderId="6" fillId="6" fontId="10" numFmtId="0" xfId="0" applyAlignment="1" applyBorder="1" applyFont="1">
      <alignment horizontal="center" readingOrder="0" shrinkToFit="0" vertical="center" wrapText="1"/>
    </xf>
    <xf borderId="6" fillId="6" fontId="37" numFmtId="0" xfId="0" applyAlignment="1" applyBorder="1" applyFont="1">
      <alignment horizontal="center" readingOrder="0" shrinkToFit="0" vertical="center" wrapText="1"/>
    </xf>
    <xf borderId="0" fillId="0" fontId="25" numFmtId="0" xfId="0" applyFont="1"/>
    <xf borderId="4" fillId="6" fontId="10" numFmtId="0" xfId="0" applyAlignment="1" applyBorder="1" applyFont="1">
      <alignment horizontal="left" readingOrder="0" shrinkToFit="0" vertical="center" wrapText="1"/>
    </xf>
    <xf borderId="4" fillId="8" fontId="10" numFmtId="0" xfId="0" applyAlignment="1" applyBorder="1" applyFont="1">
      <alignment horizontal="center" readingOrder="0" shrinkToFit="0" vertical="center" wrapText="1"/>
    </xf>
    <xf borderId="0" fillId="12" fontId="25" numFmtId="0" xfId="0" applyFill="1" applyFont="1"/>
    <xf borderId="4" fillId="8" fontId="24" numFmtId="0" xfId="0" applyAlignment="1" applyBorder="1" applyFont="1">
      <alignment horizontal="center" shrinkToFit="0" vertical="center" wrapText="1"/>
    </xf>
    <xf borderId="4" fillId="6" fontId="38" numFmtId="0" xfId="0" applyAlignment="1" applyBorder="1" applyFont="1">
      <alignment horizontal="center" shrinkToFit="0" vertical="center" wrapText="1"/>
    </xf>
    <xf borderId="4" fillId="6" fontId="29" numFmtId="0" xfId="0" applyAlignment="1" applyBorder="1" applyFont="1">
      <alignment horizontal="center" shrinkToFit="0" vertical="center" wrapText="1"/>
    </xf>
    <xf borderId="1" fillId="13" fontId="2" numFmtId="0" xfId="0" applyAlignment="1" applyBorder="1" applyFill="1" applyFont="1">
      <alignment horizontal="center" shrinkToFit="0" vertical="center" wrapText="1"/>
    </xf>
    <xf borderId="4" fillId="0" fontId="1" numFmtId="0" xfId="0" applyAlignment="1" applyBorder="1" applyFont="1">
      <alignment horizontal="center" readingOrder="0" shrinkToFit="0" vertical="center" wrapText="1"/>
    </xf>
    <xf borderId="4" fillId="6" fontId="1" numFmtId="0" xfId="0" applyAlignment="1" applyBorder="1" applyFont="1">
      <alignment horizontal="center" readingOrder="0" shrinkToFit="0" vertical="center" wrapText="1"/>
    </xf>
    <xf borderId="4" fillId="0" fontId="1" numFmtId="165" xfId="0" applyAlignment="1" applyBorder="1" applyFont="1" applyNumberFormat="1">
      <alignment horizontal="center" shrinkToFit="0" vertical="center" wrapText="1"/>
    </xf>
    <xf borderId="4" fillId="0" fontId="1" numFmtId="171" xfId="0" applyAlignment="1" applyBorder="1" applyFont="1" applyNumberFormat="1">
      <alignment horizontal="center" shrinkToFit="0" vertical="center" wrapText="1"/>
    </xf>
    <xf borderId="4" fillId="6" fontId="39" numFmtId="172"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4" fillId="6" fontId="1" numFmtId="166" xfId="0" applyAlignment="1" applyBorder="1" applyFont="1" applyNumberFormat="1">
      <alignment horizontal="center" shrinkToFit="0" vertical="center" wrapText="1"/>
    </xf>
    <xf borderId="4" fillId="6" fontId="40" numFmtId="167" xfId="0" applyAlignment="1" applyBorder="1" applyFont="1" applyNumberFormat="1">
      <alignment horizontal="center" shrinkToFit="0" vertical="center" wrapText="1"/>
    </xf>
    <xf borderId="4" fillId="6" fontId="41" numFmtId="165" xfId="0" applyAlignment="1" applyBorder="1" applyFont="1" applyNumberFormat="1">
      <alignment horizontal="center" shrinkToFit="0" vertical="center" wrapText="1"/>
    </xf>
    <xf borderId="4" fillId="0" fontId="42"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4" fillId="6" fontId="1" numFmtId="165" xfId="0" applyAlignment="1" applyBorder="1" applyFont="1" applyNumberFormat="1">
      <alignment horizontal="center" shrinkToFit="0" vertical="center" wrapText="1"/>
    </xf>
    <xf borderId="0" fillId="13" fontId="25" numFmtId="0" xfId="0" applyFont="1"/>
    <xf borderId="4" fillId="0" fontId="1" numFmtId="165" xfId="0" applyAlignment="1" applyBorder="1" applyFont="1" applyNumberFormat="1">
      <alignment horizontal="center" readingOrder="0" shrinkToFit="0" vertical="center" wrapText="1"/>
    </xf>
    <xf borderId="4" fillId="6" fontId="1" numFmtId="0" xfId="0" applyAlignment="1" applyBorder="1" applyFont="1">
      <alignment horizontal="center" readingOrder="0" shrinkToFit="0" wrapText="1"/>
    </xf>
    <xf borderId="4" fillId="6" fontId="4" numFmtId="165" xfId="0" applyAlignment="1" applyBorder="1" applyFont="1" applyNumberFormat="1">
      <alignment horizontal="center" readingOrder="0" shrinkToFit="0" vertical="center" wrapText="1"/>
    </xf>
    <xf borderId="4" fillId="6" fontId="1" numFmtId="0" xfId="0" applyAlignment="1" applyBorder="1" applyFont="1">
      <alignment horizontal="center" readingOrder="0" shrinkToFit="0" vertical="center" wrapText="1"/>
    </xf>
    <xf borderId="4" fillId="8" fontId="1" numFmtId="0" xfId="0" applyAlignment="1" applyBorder="1" applyFont="1">
      <alignment horizontal="center" readingOrder="0" shrinkToFit="0" vertical="center" wrapText="1"/>
    </xf>
    <xf borderId="1" fillId="12" fontId="2" numFmtId="0" xfId="0" applyAlignment="1" applyBorder="1" applyFont="1">
      <alignment horizontal="center" shrinkToFit="0" vertical="center" wrapText="1"/>
    </xf>
    <xf borderId="4" fillId="0" fontId="1" numFmtId="167" xfId="0" applyAlignment="1" applyBorder="1" applyFont="1" applyNumberFormat="1">
      <alignment horizontal="center" shrinkToFit="0" vertical="center" wrapText="1"/>
    </xf>
    <xf borderId="4" fillId="6" fontId="4" numFmtId="165" xfId="0" applyAlignment="1" applyBorder="1" applyFont="1" applyNumberFormat="1">
      <alignment horizontal="center" shrinkToFit="0" vertical="center" wrapText="1"/>
    </xf>
    <xf borderId="10" fillId="0" fontId="12" numFmtId="3" xfId="0" applyAlignment="1" applyBorder="1" applyFont="1" applyNumberFormat="1">
      <alignment horizontal="center" shrinkToFit="0" vertical="top" wrapText="1"/>
    </xf>
    <xf borderId="4" fillId="0" fontId="12" numFmtId="3" xfId="0" applyAlignment="1" applyBorder="1" applyFont="1" applyNumberFormat="1">
      <alignment horizontal="center" shrinkToFit="0" vertical="top" wrapText="1"/>
    </xf>
    <xf borderId="0" fillId="6" fontId="2" numFmtId="0" xfId="0" applyAlignment="1" applyFont="1">
      <alignment horizontal="center" vertical="center"/>
    </xf>
    <xf borderId="8" fillId="4" fontId="43" numFmtId="0" xfId="0" applyAlignment="1" applyBorder="1" applyFont="1">
      <alignment horizontal="center" readingOrder="0" shrinkToFit="0" vertical="center" wrapText="1"/>
    </xf>
    <xf borderId="4" fillId="0" fontId="1" numFmtId="0" xfId="0" applyAlignment="1" applyBorder="1" applyFont="1">
      <alignment horizontal="center" shrinkToFit="0" vertical="top" wrapText="1"/>
    </xf>
    <xf borderId="4" fillId="0" fontId="44" numFmtId="0" xfId="0" applyAlignment="1" applyBorder="1" applyFont="1">
      <alignment horizontal="center" readingOrder="0" shrinkToFit="0" vertical="top" wrapText="1"/>
    </xf>
    <xf borderId="4" fillId="0" fontId="45" numFmtId="0" xfId="0" applyAlignment="1" applyBorder="1" applyFont="1">
      <alignment horizontal="center" shrinkToFit="0" vertical="top" wrapText="1"/>
    </xf>
    <xf borderId="4" fillId="0" fontId="46" numFmtId="171" xfId="0" applyAlignment="1" applyBorder="1" applyFont="1" applyNumberFormat="1">
      <alignment horizontal="center" readingOrder="0" shrinkToFit="0" vertical="center" wrapText="1"/>
    </xf>
    <xf borderId="4" fillId="0" fontId="1" numFmtId="171" xfId="0" applyAlignment="1" applyBorder="1" applyFont="1" applyNumberFormat="1">
      <alignment horizontal="center" shrinkToFit="0" vertical="top" wrapText="1"/>
    </xf>
    <xf borderId="4" fillId="0" fontId="46" numFmtId="167" xfId="0" applyAlignment="1" applyBorder="1" applyFont="1" applyNumberFormat="1">
      <alignment horizontal="center" shrinkToFit="0" vertical="center" wrapText="1"/>
    </xf>
    <xf borderId="4" fillId="0" fontId="46" numFmtId="0" xfId="0" applyAlignment="1" applyBorder="1" applyFont="1">
      <alignment horizontal="center" shrinkToFit="0" vertical="center" wrapText="1"/>
    </xf>
    <xf borderId="4" fillId="14" fontId="46" numFmtId="0" xfId="0" applyAlignment="1" applyBorder="1" applyFill="1" applyFont="1">
      <alignment horizontal="center" readingOrder="0" shrinkToFit="0" vertical="center" wrapText="1"/>
    </xf>
    <xf borderId="4" fillId="0" fontId="1" numFmtId="0" xfId="0" applyAlignment="1" applyBorder="1" applyFont="1">
      <alignment horizontal="center" readingOrder="0" shrinkToFit="0" vertical="top" wrapText="1"/>
    </xf>
    <xf borderId="4" fillId="0" fontId="47"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1" fillId="10" fontId="2" numFmtId="0" xfId="0" applyAlignment="1" applyBorder="1" applyFont="1">
      <alignment horizontal="center" shrinkToFit="0" vertical="center" wrapText="1"/>
    </xf>
    <xf borderId="4" fillId="15" fontId="48" numFmtId="0" xfId="0" applyAlignment="1" applyBorder="1" applyFill="1" applyFont="1">
      <alignment readingOrder="0" shrinkToFit="0" vertical="center" wrapText="1"/>
    </xf>
    <xf borderId="4" fillId="0" fontId="49" numFmtId="0" xfId="0" applyAlignment="1" applyBorder="1" applyFont="1">
      <alignment readingOrder="0" shrinkToFit="0" vertical="center" wrapText="1"/>
    </xf>
    <xf borderId="4" fillId="0" fontId="1" numFmtId="165" xfId="0" applyAlignment="1" applyBorder="1" applyFont="1" applyNumberFormat="1">
      <alignment readingOrder="0" shrinkToFit="0" vertical="center" wrapText="1"/>
    </xf>
    <xf borderId="4" fillId="0" fontId="1" numFmtId="165" xfId="0" applyAlignment="1" applyBorder="1" applyFont="1" applyNumberFormat="1">
      <alignment shrinkToFit="0" vertical="center" wrapText="1"/>
    </xf>
    <xf borderId="4" fillId="0" fontId="1" numFmtId="166" xfId="0" applyAlignment="1" applyBorder="1" applyFont="1" applyNumberFormat="1">
      <alignment shrinkToFit="0" vertical="center" wrapText="1"/>
    </xf>
    <xf borderId="4" fillId="0" fontId="1" numFmtId="0" xfId="0" applyAlignment="1" applyBorder="1" applyFont="1">
      <alignment shrinkToFit="0" vertical="center" wrapText="1"/>
    </xf>
    <xf borderId="4" fillId="0" fontId="1" numFmtId="0" xfId="0" applyAlignment="1" applyBorder="1" applyFont="1">
      <alignment readingOrder="0" shrinkToFit="0" vertical="center" wrapText="1"/>
    </xf>
    <xf borderId="4" fillId="0" fontId="50" numFmtId="0" xfId="0" applyAlignment="1" applyBorder="1" applyFont="1">
      <alignment readingOrder="0" shrinkToFit="0" vertical="center" wrapText="1"/>
    </xf>
    <xf borderId="1" fillId="16" fontId="2" numFmtId="0" xfId="0" applyAlignment="1" applyBorder="1" applyFill="1" applyFont="1">
      <alignment horizontal="center" shrinkToFit="0" vertical="center" wrapText="1"/>
    </xf>
    <xf borderId="4" fillId="0" fontId="1" numFmtId="165" xfId="0" applyAlignment="1" applyBorder="1" applyFont="1" applyNumberFormat="1">
      <alignment horizontal="center" shrinkToFit="0" vertical="top" wrapText="1"/>
    </xf>
    <xf borderId="4" fillId="0" fontId="1" numFmtId="167" xfId="0" applyAlignment="1" applyBorder="1" applyFont="1" applyNumberFormat="1">
      <alignment horizontal="center" shrinkToFit="0" vertical="top" wrapText="1"/>
    </xf>
    <xf borderId="4" fillId="6"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ticulo.mercadolibre.com.co/MCO-1194697164-cpu-torre-core-i5-16ramhd500-monitor-19-_JM"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3" Type="http://schemas.openxmlformats.org/officeDocument/2006/relationships/hyperlink" Target="https://powerdeal.com.co/collections/pc-gamer-ensamblados/products/pc-torre-ghost-amd-ryzen-athlon-3000g-8gb-ssd-500-gb-sata-p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g.com/co/monitore/uhd-4k-8k/27ul500-w/" TargetMode="External"/><Relationship Id="rId2" Type="http://schemas.openxmlformats.org/officeDocument/2006/relationships/hyperlink" Target="https://www.alkosto.com/computadores-tablet/monitores/c/BI_110_ALKOS" TargetMode="External"/><Relationship Id="rId3" Type="http://schemas.openxmlformats.org/officeDocument/2006/relationships/hyperlink" Target="https://monitores.com.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xito.com/disco-solido-ssd-crucial-240gb-ct240-bx500-103031990-mp/p?idsku=103031990&amp;srsltid=AfmBOorSt_rM05mj97L_ICrgFTDuTv01GSwuEdMfcGgpqKTu8E1GTev8MXA" TargetMode="External"/><Relationship Id="rId2" Type="http://schemas.openxmlformats.org/officeDocument/2006/relationships/hyperlink" Target="https://www.mercadolibre.com.co/disco-solido-ssd-interno-attech-at422-256gb-negro/up/MCOU2666260732?matt_tool=19390127&amp;utm_source=google_shopping&amp;utm_medium=organic&amp;pdp_filters=item_id%3AMCO972565247&amp;from=gshop" TargetMode="External"/><Relationship Id="rId3" Type="http://schemas.openxmlformats.org/officeDocument/2006/relationships/hyperlink" Target="https://www.mercadolibre.com.co/disco-estado-solido-ssd-kingston-25-a400-960gb-negro/p/MCO26810824"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exito.com/disco-solido-ssd-1tb-wester-digital-green-sata-iii-102429879-mp/p?idsku=102429879&amp;srsltid=AfmBOoqm6fLOuxSWPf0iXQg7hdTQ_1Q3Ulp2Mua9WG-mn38g-50NTS8EXgU" TargetMode="External"/><Relationship Id="rId2" Type="http://schemas.openxmlformats.org/officeDocument/2006/relationships/hyperlink" Target="https://www.ktronix.com/disco-duro-toshiba-basic-2tb/p/723844001346" TargetMode="External"/><Relationship Id="rId3" Type="http://schemas.openxmlformats.org/officeDocument/2006/relationships/hyperlink" Target="https://www.alkosto.com/unidad-estado-solido-adata-su650-960gb/p/4713218461186?fuente=google&amp;medio=cpc&amp;campaign=AK_COL_MAX_PEF_CPC_AON_VJ_TLP_Accesorios-Videojuegos-AON_PAC&amp;keyword=&amp;gad_source=4&amp;gad_campaignid=17338992415&amp;gbraid=0AAAAADlnVbhy-dH456X70mMxZsURXAO5T&amp;gclid=CjwKCAjwu9fHBhAWEiwAzGRC_zulXyBwOx4pfz2FZM8USN2rOkyD-EKr0I_DfLKuJXBXOFMV4trifBoC1oAQAvD_BwE"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rticulo.mercadolibre.com.co/MCO-1294185577-poweredge-t150-tower-server-intel-xeon-e-2336g16gb2tb-_JM" TargetMode="External"/><Relationship Id="rId2" Type="http://schemas.openxmlformats.org/officeDocument/2006/relationships/hyperlink" Target="https://articulo.mercadolibre.com.co/MCO-1318522727-servidor-hp-proliant-ml310e-gen8-v2-r16gb-ssd480-xeon-31ghz-_JM" TargetMode="External"/><Relationship Id="rId3" Type="http://schemas.openxmlformats.org/officeDocument/2006/relationships/hyperlink" Target="https://tecnonacho.com/producto/servidor-dell-poweredge-t40-xeon-8gb-1tb/"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ercadolibre.com.co/teclado-weibo-qwerty-color-negro-con-luz-rgb/p/MCO17396342?matt_tool=19390127&amp;utm_source=google_shopping&amp;utm_medium=organic&amp;pdp_filters=item_id%3AMCO1398795027&amp;from=gshop" TargetMode="External"/><Relationship Id="rId2" Type="http://schemas.openxmlformats.org/officeDocument/2006/relationships/hyperlink" Target="https://www.falabella.com.co/falabella-co/product/126764003/Kit-De-Teclado-Y-Mouse-Inalambrico-Logitech-Mk470-Espanol-Color-Rosado/126764004" TargetMode="External"/><Relationship Id="rId3" Type="http://schemas.openxmlformats.org/officeDocument/2006/relationships/hyperlink" Target="https://www.alkosto.com/teclado-logitech-inalambrico-bluetooth-k380s-negro/p/097855186201"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peedlogic.com.co/tienda/memorias-ram/memoria-ram-ddr4-16g-3200-cors" TargetMode="External"/><Relationship Id="rId2" Type="http://schemas.openxmlformats.org/officeDocument/2006/relationships/hyperlink" Target="https://listado.mercadolibre.com.co/memoria-ddr4-16gb" TargetMode="External"/><Relationship Id="rId3" Type="http://schemas.openxmlformats.org/officeDocument/2006/relationships/hyperlink" Target="https://tecnostock.com.co/products/crucial-laptop-ddr4-3200-mhz-sodimm-memory-module?variant=46808587370781&amp;currency=COP&amp;utm_medium=product_sync&amp;utm_source=google&amp;utm_content=sag_organic&amp;utm_campaign=sag_organic&amp;srsltid=AfmBOoqET5a1tgCjO-30b6IPBqHaFs9VneMJjDgoKfxpm8XhSgHhZF9ABDc"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lkosto.com/mouse-logitech-inalambrico-optico-m240-blanco/p/097855187680?utm_source=google&amp;utm_medium=organic&amp;utm_campaign=Shopping-Organico&amp;srsltid=AfmBOormYDpPDWMAh4_veFlM5P04n-ACx0eIE6COHYKfwzLVqIKe2yXekzs" TargetMode="External"/><Relationship Id="rId2" Type="http://schemas.openxmlformats.org/officeDocument/2006/relationships/hyperlink" Target="https://www.madrigal.co/?product=accesorios-mouses-y-pads-almohadillas-basico-cuenta-con-una-sencilla-conexion-plug-and-play-a-pc-con-un-cable-usb-el-diseno-lenovo-epm-3731&amp;srsltid=AfmBOopnpXm3dzTzWLc0x_xg7s6SfVw-CL9hAZFv349MZnx70iv6MSoa6G4" TargetMode="External"/><Relationship Id="rId3" Type="http://schemas.openxmlformats.org/officeDocument/2006/relationships/hyperlink" Target="https://www.panamericana.com.co/mouse-alambrico-hp-100-negro-620921/p?idsku=620921&amp;srsltid=AfmBOooAujpOfiDSb76jo12_eHJ2i4EbsvSZDoIqesZ6hSTvszFzwJuJFY8"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TargetMode="External"/><Relationship Id="rId2" Type="http://schemas.openxmlformats.org/officeDocument/2006/relationships/hyperlink" Target="https://www.alkosto.com/computador-portatil-asus-vivobook-156-pulgadas-x1504za-intel-core-i5-ram-8gb-disco-ssd-512-gb-azul/p/4711387276068" TargetMode="External"/><Relationship Id="rId3" Type="http://schemas.openxmlformats.org/officeDocument/2006/relationships/hyperlink" Target="https://www.alkosto.com/computador-portatil-gamer-asus-tuf-16-fx607vj-intel-core-5/p/4711636036580?gclsrc=aw.ds&amp;&amp;fuente=google&amp;medio=cpc&amp;campaign=AK_COL_MAX_PEF_CPC_AON_COMP_Intel_Mar21_EXP_MAR&amp;keyword=&amp;gad_source=1&amp;gad_campaignid=17347372244&amp;gbraid=0AAAAADlnVbj38xka5Ni5QdNdIuQAHE8c-&amp;gclid=CjwKCAjwmNLHBhA4EiwA3ts3mRoWkPh5VTDC96AzdNCtcT1c2GH9H7_NfplDrsxsGBYZxtNAGqtpnxoCNu8QAvD_BwE"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lkosto.com/monitor-samsung-gamer-32-pulgadas-ag320-plano-negro/p/887276595368" TargetMode="External"/><Relationship Id="rId2" Type="http://schemas.openxmlformats.org/officeDocument/2006/relationships/hyperlink" Target="https://www.falabella.com.co/falabella-co/product/122186554/Monitor-ThinkVision-M14-movil-con-pantalla-tactil-14%E2%80%9D/122186555" TargetMode="External"/><Relationship Id="rId3" Type="http://schemas.openxmlformats.org/officeDocument/2006/relationships/hyperlink" Target="https://www.mercadolibre.com.co/monitor-gamer-lg-ultragear-27gr75q-lcd-27-negro-100v240v/p/MCO24122328?pdp_filters=item_id:MCO1413629089"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alabella.com.co/falabella-co/product/124164428/Disco-duro-externo-2tb-toshiba-usb-3.0-+-estuche/124164429" TargetMode="External"/><Relationship Id="rId2" Type="http://schemas.openxmlformats.org/officeDocument/2006/relationships/hyperlink" Target="https://www.exito.com/disco-duro-seagate-expansion-portable-1tb-usb-3-0-1000-gb-124145517/p?idsku=124231617&amp;srsltid=AfmBOoqaV-mbwGIjvXBEOIdsoCIOp0jXnyuo5TklxCz95Oq2lgOq11UKnCU" TargetMode="External"/><Relationship Id="rId3" Type="http://schemas.openxmlformats.org/officeDocument/2006/relationships/hyperlink" Target="https://shopee.com.co/product/1575751765/41806906054?gads_t_sig=VTJGc2RHVmtYMTlxTFVSVVRrdENkWHlFU0hvQlZFVENpb1FnT09uNDlDSVpjalJkM3ZNZkxlNzRSOUxWaWxNYVJ2Z1UrUXpnUGUvSXh2TVl4ODlqNTJadTRWdEhVb2taZXRQYXlqT0x4UHAxR3Mva3ZkZjE0bS8wTS9GMnFmNzIrWU9iTUxJb2o3Nkd2UlRsdTY2THV3PT0"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ompulago.com/producto/servidor-lenovo-thinksystem-st45-v3-server-7dh4a00gla-2323-03474310/?srsltid=AfmBOoqe951g-cUfRYYC697PrpyYu1kcLNL6Hi2k_m0K5LmJxpRhW09QewI" TargetMode="External"/><Relationship Id="rId2" Type="http://schemas.openxmlformats.org/officeDocument/2006/relationships/hyperlink" Target="https://encarguelo.com/producto/B0BCXN7TLR/servidor-hp-proliant-dl380-g9-e5-2660v3-260-ghz-10-nucleos-y-8-gb-p440ar-renovado?srsltid=AfmBOopQ9qLCl7EIZxKf5UwVpDr4BcMHsTEG5JSe5aO4DNOW3U5GW7nHXc8" TargetMode="External"/><Relationship Id="rId3" Type="http://schemas.openxmlformats.org/officeDocument/2006/relationships/hyperlink" Target="https://www.mercadolibre.com.co/hpe-proliant-microserver-g11-xeon-e2434-2-tb-16/up/MCOU3449410717?matt_tool=19390127&amp;utm_source=google_shopping&amp;utm_medium=organic&amp;pdp_filters=item_id%3AMCO1685092241&amp;from=gshop"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memoria-ram-samsung-8gb-ddr3-1600mhz-portatil-laptop/p/MCO14924731?pdp_filters=item_id:MCO1541573376" TargetMode="External"/><Relationship Id="rId2" Type="http://schemas.openxmlformats.org/officeDocument/2006/relationships/hyperlink" Target="https://clonesyperifericos.com/comprar/memoria-ram-corsair-vengeance-rgb-ddr5-48gb-2x24-gb-6000-mhz/" TargetMode="External"/><Relationship Id="rId3" Type="http://schemas.openxmlformats.org/officeDocument/2006/relationships/hyperlink" Target="https://www.exito.com/memoria-portatil-crucial-basics-ddr4-3200-8gb-103248573-mp/p?idsku=103248573&amp;srsltid=AfmBOoogeyi4XtzG9WkJJVbW0gq9eRinfJgB3MNfQDr_n4H3_QtZaVBlN2U"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tarjeta-de-video-g210-1gb-ddr3-hdmi-pci-e/p/MCO36538858?pdp_filters=item_id:MCO2359750672" TargetMode="External"/><Relationship Id="rId2" Type="http://schemas.openxmlformats.org/officeDocument/2006/relationships/hyperlink" Target="https://clonesyperifericos.com/comprar/tarjeta-xfx-amd-radeon-rx-580-gts-edicion-xxx-8gb/" TargetMode="External"/><Relationship Id="rId3" Type="http://schemas.openxmlformats.org/officeDocument/2006/relationships/hyperlink" Target="https://www.compulago.com/producto/tarjeta-video-20-gb-ddr5-asrock-phantom-gaming-rx-550-1102336897/"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tigercomputadores.com/producto/procesador-amd-ryzen-5-5600gt-am4/?srsltid=AfmBOoqNq7ij4bi_BHj5Xsv-wvgufGETRZWXxH6Jkx0ZJgc1AUVRv8MiSPk" TargetMode="External"/><Relationship Id="rId2" Type="http://schemas.openxmlformats.org/officeDocument/2006/relationships/hyperlink" Target="https://cometware.com/intel-core-i5-13600k-f-3-5ghz-6p-8e-20-hilos-raptor-lake-procesador-1.html" TargetMode="External"/><Relationship Id="rId3" Type="http://schemas.openxmlformats.org/officeDocument/2006/relationships/hyperlink" Target="https://www.mercadolibre.com.co/procesador-intel-core-i5-14600k-lga1700-bx8071514600k/p/MCO29149408?pdp_filters=item_id:MCO1626711841"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ktronix.com/teclado-logitech-inalambrico-bluetooth-k380s-negro/p/097855186201?utm_source=google&amp;utm_medium=organic&amp;utm_campaign=Shopping-organico&amp;srsltid=AfmBOopJGACbubSRjv0glyzajPwyixc81SOBu4ywzh_iocJhB5nOrVbc3JI" TargetMode="External"/><Relationship Id="rId2" Type="http://schemas.openxmlformats.org/officeDocument/2006/relationships/hyperlink" Target="https://www.mercadolibre.com.co/teclado-redragon-kumara-qwerty-outemu-blue-ingles-us-color-negro-con-luz-rgb/p/MCO15104219?matt_tool=19390127&amp;utm_source=google_shopping&amp;utm_medium=organic&amp;pdp_filters=item_id%3AMCO836937853&amp;from=gshop" TargetMode="External"/><Relationship Id="rId3" Type="http://schemas.openxmlformats.org/officeDocument/2006/relationships/hyperlink" Target="https://www.mercadolibre.com.co/teclado-alambrico-pequeno-80-jyr-tmjr-028-espanol-comodo-teclado-negro/p/MCO57432151?matt_tool=19390127&amp;utm_source=google_shopping&amp;utm_medium=organic&amp;pdp_filters=item_id%3AMCO1679633905&amp;from=gshop"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logitech-g203-lightsync-mouse-gamer-rgb-6-botones-8000dpi-color-negro/p/MCO16211422?pdp_filters=category:MCO1714" TargetMode="External"/><Relationship Id="rId2" Type="http://schemas.openxmlformats.org/officeDocument/2006/relationships/hyperlink" Target="https://www.panamericana.com.co/mouse-gaming-alambrico-darkweb-rgb-negro-664710/p?idsku=664710&amp;srsltid=AfmBOop7Acj_YWmQkzfBRj1GFu25-vLYdbxedRjynHJ-r88-qOr4TnkBuKI" TargetMode="External"/><Relationship Id="rId3" Type="http://schemas.openxmlformats.org/officeDocument/2006/relationships/hyperlink" Target="https://www.homecenter.com.co/homecenter-co/product/795458/mouse-ergonomico-recargable-conexion-inalambrica/795458/"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igital-licencia.com/producto/licencia-visual-studio-2022-enterprise/" TargetMode="External"/><Relationship Id="rId2" Type="http://schemas.openxmlformats.org/officeDocument/2006/relationships/hyperlink" Target="https://lasus.com.co/es/estudio-visual-profesional-2022-nce-nfp-bas-per-1tm?srsltid=AfmBOoqYV2VGafQTsRmKf9MzfNlKkRFs437tQq9K3b88_UaeydpagstE" TargetMode="External"/><Relationship Id="rId3" Type="http://schemas.openxmlformats.org/officeDocument/2006/relationships/hyperlink" Target="https://visualstudio.microsoft.com/es/vs/pricing/?tab=paid-subscriptions"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tulicencias.com/product/windows-11-pro/?currency=COP&amp;utm_id=22950947926&amp;utm_source=google&amp;utm_medium=cpc&amp;utm_device=c&amp;gad_source=4&amp;gad_campaignid=22950947926&amp;gbraid=0AAAAA9_hf_CPsjkw3LGOXHJOLMoIL8LT1&amp;gclid=CjwKCAjw3tzHBhBREiwAlMJoUs07rkE_6cI-hWDd_7R958utownV54XsvoYiuDKlKk9zaKtj8J0rMhoCvpAQAvD_BwE" TargetMode="External"/><Relationship Id="rId2" Type="http://schemas.openxmlformats.org/officeDocument/2006/relationships/hyperlink" Target="https://www.eneba.com/es/microsoft-windows-microsoft-windows-11-oem-home-key-global/digital-imperium?product=digital&amp;currency=COP&amp;utm_adid=&amp;utm_campaign=&amp;utm_content=&amp;utm_source=google-ads&amp;utm_term=&amp;gad_source=4&amp;gad_campaignid=19499769054&amp;gbraid=0AAAAAC5HeFzrTY3C-MHIZE8_MQlxttHdG&amp;gclid=CjwKCAjw3tzHBhBREiwAlMJoUtdT2yrJ2do5d45cVijTTrpJ2XzZ0iKvxVPZr4fdr4DWmm7eUtkHaRoC9yMQAvD_BwE" TargetMode="External"/><Relationship Id="rId3" Type="http://schemas.openxmlformats.org/officeDocument/2006/relationships/hyperlink" Target="https://colombiakeys.com/producto/windows-11-pro-oem/?srsltid=AfmBOopFZIxUivDQl5yb2yenyT-kjQmm49wGIbELcB54fFxni3S73itayJw"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systorecolombia.com/server/252-licencia-sql-server-standard-2019-perpetua-dg7gmgf0fkx9.html" TargetMode="External"/><Relationship Id="rId2"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t="s">
        <v>0</v>
      </c>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7" t="s">
        <v>4</v>
      </c>
      <c r="C7" s="7" t="s">
        <v>5</v>
      </c>
      <c r="D7" s="7" t="s">
        <v>6</v>
      </c>
      <c r="E7" s="7" t="s">
        <v>7</v>
      </c>
      <c r="F7" s="8" t="s">
        <v>8</v>
      </c>
      <c r="G7" s="9" t="s">
        <v>9</v>
      </c>
      <c r="H7" s="7" t="s">
        <v>10</v>
      </c>
      <c r="I7" s="7" t="s">
        <v>11</v>
      </c>
      <c r="J7" s="7" t="s">
        <v>12</v>
      </c>
      <c r="K7" s="10"/>
      <c r="L7" s="10"/>
      <c r="M7" s="10"/>
      <c r="N7" s="10"/>
      <c r="O7" s="10"/>
      <c r="P7" s="10"/>
      <c r="Q7" s="10"/>
      <c r="R7" s="10"/>
      <c r="S7" s="10"/>
      <c r="T7" s="10"/>
      <c r="U7" s="10"/>
      <c r="V7" s="10"/>
      <c r="W7" s="10"/>
      <c r="X7" s="10"/>
      <c r="Y7" s="10"/>
      <c r="Z7" s="10"/>
    </row>
    <row r="8" ht="50.25" customHeight="1">
      <c r="A8" s="11" t="s">
        <v>13</v>
      </c>
      <c r="B8" s="12" t="s">
        <v>14</v>
      </c>
      <c r="C8" s="13" t="s">
        <v>15</v>
      </c>
      <c r="D8" s="14" t="s">
        <v>16</v>
      </c>
      <c r="E8" s="15">
        <v>1572100.0</v>
      </c>
      <c r="F8" s="16">
        <f t="shared" ref="F8:F10" si="1">E8*0.16</f>
        <v>251536</v>
      </c>
      <c r="G8" s="17">
        <f t="shared" ref="G8:G10" si="2">(E8+F8)/3900</f>
        <v>467.5989744</v>
      </c>
      <c r="H8" s="18">
        <f>G8*3900</f>
        <v>1823636</v>
      </c>
      <c r="I8" s="19" t="s">
        <v>17</v>
      </c>
      <c r="J8" s="20" t="s">
        <v>18</v>
      </c>
    </row>
    <row r="9" ht="50.25" customHeight="1">
      <c r="A9" s="11" t="s">
        <v>19</v>
      </c>
      <c r="B9" s="21" t="s">
        <v>20</v>
      </c>
      <c r="C9" s="13" t="s">
        <v>21</v>
      </c>
      <c r="D9" s="22" t="s">
        <v>22</v>
      </c>
      <c r="E9" s="23">
        <v>1720900.0</v>
      </c>
      <c r="F9" s="16">
        <f t="shared" si="1"/>
        <v>275344</v>
      </c>
      <c r="G9" s="17">
        <f t="shared" si="2"/>
        <v>511.8574359</v>
      </c>
      <c r="H9" s="18">
        <f t="shared" ref="H9:H10" si="3">G9*3900</f>
        <v>1996244</v>
      </c>
      <c r="I9" s="19" t="s">
        <v>17</v>
      </c>
      <c r="J9" s="24" t="s">
        <v>23</v>
      </c>
    </row>
    <row r="10" ht="50.25" customHeight="1">
      <c r="A10" s="11" t="s">
        <v>24</v>
      </c>
      <c r="B10" s="25" t="s">
        <v>25</v>
      </c>
      <c r="C10" s="13" t="s">
        <v>26</v>
      </c>
      <c r="D10" s="26" t="s">
        <v>27</v>
      </c>
      <c r="E10" s="23">
        <v>3131646.0</v>
      </c>
      <c r="F10" s="16">
        <f t="shared" si="1"/>
        <v>501063.36</v>
      </c>
      <c r="G10" s="17">
        <f t="shared" si="2"/>
        <v>931.4639385</v>
      </c>
      <c r="H10" s="18">
        <f t="shared" si="3"/>
        <v>3632709.36</v>
      </c>
      <c r="I10" s="19" t="s">
        <v>17</v>
      </c>
      <c r="J10" s="27" t="s">
        <v>28</v>
      </c>
    </row>
    <row r="11" ht="15.0" hidden="1" customHeight="1">
      <c r="A11" s="28"/>
      <c r="B11" s="29"/>
      <c r="C11" s="29"/>
      <c r="D11" s="29"/>
      <c r="E11" s="29"/>
      <c r="F11" s="29"/>
      <c r="G11" s="29"/>
      <c r="H11" s="29"/>
      <c r="I11" s="29"/>
      <c r="J11" s="29"/>
    </row>
    <row r="12" ht="12.75" customHeight="1"/>
    <row r="13" ht="138.75" customHeight="1">
      <c r="A13" s="30" t="s">
        <v>29</v>
      </c>
      <c r="B13" s="4"/>
      <c r="C13" s="4"/>
      <c r="D13" s="4"/>
      <c r="E13" s="4"/>
      <c r="F13" s="4"/>
      <c r="G13" s="4"/>
      <c r="H13" s="4"/>
      <c r="I13" s="4"/>
      <c r="J13" s="5"/>
    </row>
    <row r="14" ht="12.75" customHeight="1"/>
    <row r="15" ht="75.0" customHeight="1">
      <c r="A15" s="30" t="s">
        <v>30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sition=27&amp;search_layout=stack&amp;type=item&amp;tracking_id=22ccce83-15fd-498b-821b-fb60ba69422b"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33" t="s">
        <v>31</v>
      </c>
    </row>
    <row r="3" ht="12.75" customHeight="1"/>
    <row r="4" ht="12.75" customHeight="1"/>
    <row r="5" ht="43.5" customHeight="1">
      <c r="A5" s="34" t="s">
        <v>2</v>
      </c>
      <c r="B5" s="4"/>
      <c r="C5" s="4"/>
      <c r="D5" s="4"/>
      <c r="E5" s="4"/>
      <c r="F5" s="4"/>
      <c r="G5" s="4"/>
      <c r="H5" s="4"/>
      <c r="I5" s="4"/>
      <c r="J5" s="5"/>
    </row>
    <row r="6" ht="15.75" customHeight="1"/>
    <row r="7" ht="75.75" customHeight="1">
      <c r="A7" s="6" t="s">
        <v>3</v>
      </c>
      <c r="B7" s="35" t="s">
        <v>32</v>
      </c>
      <c r="C7" s="35" t="s">
        <v>33</v>
      </c>
      <c r="D7" s="35" t="s">
        <v>34</v>
      </c>
      <c r="E7" s="35" t="s">
        <v>35</v>
      </c>
      <c r="F7" s="36" t="s">
        <v>36</v>
      </c>
      <c r="G7" s="9" t="s">
        <v>37</v>
      </c>
      <c r="H7" s="35" t="s">
        <v>10</v>
      </c>
      <c r="I7" s="35" t="s">
        <v>38</v>
      </c>
      <c r="J7" s="35" t="s">
        <v>39</v>
      </c>
      <c r="K7" s="10"/>
      <c r="L7" s="10"/>
      <c r="M7" s="10"/>
      <c r="N7" s="10"/>
      <c r="O7" s="10"/>
      <c r="P7" s="10"/>
      <c r="Q7" s="10"/>
      <c r="R7" s="10"/>
      <c r="S7" s="10"/>
      <c r="T7" s="10"/>
      <c r="U7" s="10"/>
      <c r="V7" s="10"/>
      <c r="W7" s="10"/>
      <c r="X7" s="10"/>
      <c r="Y7" s="10"/>
      <c r="Z7" s="10"/>
    </row>
    <row r="8" ht="75.0" customHeight="1">
      <c r="A8" s="35" t="s">
        <v>13</v>
      </c>
      <c r="B8" s="37" t="s">
        <v>40</v>
      </c>
      <c r="C8" s="38" t="s">
        <v>41</v>
      </c>
      <c r="D8" s="39" t="s">
        <v>42</v>
      </c>
      <c r="E8" s="40">
        <v>1699900.0</v>
      </c>
      <c r="F8" s="41">
        <f t="shared" ref="F8:F10" si="1">E8*0.16</f>
        <v>271984</v>
      </c>
      <c r="G8" s="42">
        <f t="shared" ref="G8:G10" si="2">E8/3894</f>
        <v>436.5434001</v>
      </c>
      <c r="H8" s="43">
        <f t="shared" ref="H8:H10" si="3">G8*3900</f>
        <v>1702519.26</v>
      </c>
      <c r="I8" s="44" t="s">
        <v>17</v>
      </c>
      <c r="J8" s="45" t="s">
        <v>43</v>
      </c>
    </row>
    <row r="9" ht="50.25" customHeight="1">
      <c r="A9" s="35" t="s">
        <v>19</v>
      </c>
      <c r="B9" s="46" t="s">
        <v>44</v>
      </c>
      <c r="C9" s="47" t="s">
        <v>45</v>
      </c>
      <c r="D9" s="48" t="s">
        <v>46</v>
      </c>
      <c r="E9" s="49">
        <v>539900.0</v>
      </c>
      <c r="F9" s="41">
        <f t="shared" si="1"/>
        <v>86384</v>
      </c>
      <c r="G9" s="42">
        <f t="shared" si="2"/>
        <v>138.6492039</v>
      </c>
      <c r="H9" s="43">
        <f t="shared" si="3"/>
        <v>540731.8952</v>
      </c>
      <c r="I9" s="44" t="s">
        <v>17</v>
      </c>
      <c r="J9" s="50" t="s">
        <v>47</v>
      </c>
    </row>
    <row r="10" ht="50.25" customHeight="1">
      <c r="A10" s="35" t="s">
        <v>24</v>
      </c>
      <c r="B10" s="37" t="s">
        <v>48</v>
      </c>
      <c r="C10" s="13" t="s">
        <v>49</v>
      </c>
      <c r="D10" s="51" t="s">
        <v>50</v>
      </c>
      <c r="E10" s="49">
        <v>1918911.0</v>
      </c>
      <c r="F10" s="41">
        <f t="shared" si="1"/>
        <v>307025.76</v>
      </c>
      <c r="G10" s="42">
        <f t="shared" si="2"/>
        <v>492.7865948</v>
      </c>
      <c r="H10" s="43">
        <f t="shared" si="3"/>
        <v>1921867.72</v>
      </c>
      <c r="I10" s="44" t="s">
        <v>17</v>
      </c>
      <c r="J10" s="50" t="s">
        <v>51</v>
      </c>
    </row>
    <row r="11" ht="15.0" hidden="1" customHeight="1">
      <c r="A11" s="28"/>
      <c r="B11" s="29"/>
      <c r="C11" s="29"/>
      <c r="D11" s="29"/>
      <c r="E11" s="29"/>
      <c r="F11" s="29"/>
      <c r="G11" s="29"/>
      <c r="H11" s="29"/>
      <c r="I11" s="29"/>
      <c r="J11" s="29"/>
    </row>
    <row r="12" ht="12.75" customHeight="1"/>
    <row r="13" ht="138.75" customHeight="1">
      <c r="A13" s="30" t="s">
        <v>52</v>
      </c>
      <c r="B13" s="4"/>
      <c r="C13" s="4"/>
      <c r="D13" s="4"/>
      <c r="E13" s="4"/>
      <c r="F13" s="4"/>
      <c r="G13" s="4"/>
      <c r="H13" s="4"/>
      <c r="I13" s="4"/>
      <c r="J13" s="5"/>
    </row>
    <row r="14" ht="12.75" customHeight="1"/>
    <row r="15" ht="75.0" customHeight="1">
      <c r="A15" s="30" t="s">
        <v>53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7" width="10.0"/>
  </cols>
  <sheetData>
    <row r="1" ht="12.75" customHeight="1">
      <c r="A1" s="52" t="s">
        <v>54</v>
      </c>
    </row>
    <row r="2" ht="27.75" customHeight="1">
      <c r="D2" s="33" t="s">
        <v>31</v>
      </c>
    </row>
    <row r="3" ht="12.75" customHeight="1"/>
    <row r="4" ht="12.75" customHeight="1"/>
    <row r="5" ht="43.5" customHeight="1">
      <c r="A5" s="53" t="s">
        <v>2</v>
      </c>
      <c r="B5" s="4"/>
      <c r="C5" s="4"/>
      <c r="D5" s="4"/>
      <c r="E5" s="4"/>
      <c r="F5" s="4"/>
      <c r="G5" s="4"/>
      <c r="H5" s="4"/>
      <c r="I5" s="4"/>
      <c r="J5" s="5"/>
    </row>
    <row r="6" ht="15.75" customHeight="1"/>
    <row r="7" ht="75.75" customHeight="1">
      <c r="A7" s="54" t="s">
        <v>3</v>
      </c>
      <c r="B7" s="55" t="s">
        <v>55</v>
      </c>
      <c r="C7" s="55" t="s">
        <v>56</v>
      </c>
      <c r="D7" s="55" t="s">
        <v>57</v>
      </c>
      <c r="E7" s="55" t="s">
        <v>58</v>
      </c>
      <c r="F7" s="56" t="s">
        <v>59</v>
      </c>
      <c r="G7" s="57" t="s">
        <v>60</v>
      </c>
      <c r="H7" s="55" t="s">
        <v>10</v>
      </c>
      <c r="I7" s="55" t="s">
        <v>61</v>
      </c>
      <c r="J7" s="58" t="s">
        <v>62</v>
      </c>
      <c r="K7" s="10"/>
      <c r="L7" s="10"/>
      <c r="M7" s="10"/>
      <c r="N7" s="10"/>
      <c r="O7" s="10"/>
      <c r="P7" s="10"/>
      <c r="Q7" s="10"/>
      <c r="R7" s="10"/>
      <c r="S7" s="10"/>
      <c r="T7" s="10"/>
      <c r="U7" s="10"/>
      <c r="V7" s="10"/>
      <c r="W7" s="10"/>
      <c r="X7" s="10"/>
      <c r="Y7" s="10"/>
      <c r="Z7" s="10"/>
      <c r="AA7" s="10"/>
    </row>
    <row r="8" ht="50.25" customHeight="1">
      <c r="A8" s="11" t="s">
        <v>13</v>
      </c>
      <c r="B8" s="39" t="s">
        <v>63</v>
      </c>
      <c r="C8" s="59" t="s">
        <v>64</v>
      </c>
      <c r="D8" s="14" t="s">
        <v>65</v>
      </c>
      <c r="E8" s="49">
        <v>117900.0</v>
      </c>
      <c r="F8" s="60">
        <f t="shared" ref="F8:F10" si="1">E8*0.16</f>
        <v>18864</v>
      </c>
      <c r="G8" s="61">
        <f t="shared" ref="G8:G10" si="2">(E8+F8)/3900</f>
        <v>35.06769231</v>
      </c>
      <c r="H8" s="43">
        <f t="shared" ref="H8:H10" si="3">G8*3900</f>
        <v>136764</v>
      </c>
      <c r="I8" s="44" t="s">
        <v>66</v>
      </c>
      <c r="J8" s="62" t="s">
        <v>67</v>
      </c>
    </row>
    <row r="9" ht="77.25" customHeight="1">
      <c r="A9" s="11" t="s">
        <v>19</v>
      </c>
      <c r="B9" s="63" t="s">
        <v>68</v>
      </c>
      <c r="C9" s="13" t="s">
        <v>69</v>
      </c>
      <c r="D9" s="64" t="s">
        <v>70</v>
      </c>
      <c r="E9" s="49">
        <v>109000.0</v>
      </c>
      <c r="F9" s="39">
        <f t="shared" si="1"/>
        <v>17440</v>
      </c>
      <c r="G9" s="61">
        <f t="shared" si="2"/>
        <v>32.42051282</v>
      </c>
      <c r="H9" s="43">
        <f t="shared" si="3"/>
        <v>126440</v>
      </c>
      <c r="I9" s="44" t="s">
        <v>66</v>
      </c>
      <c r="J9" s="65" t="s">
        <v>71</v>
      </c>
    </row>
    <row r="10" ht="50.25" customHeight="1">
      <c r="A10" s="11" t="s">
        <v>24</v>
      </c>
      <c r="B10" s="66" t="s">
        <v>68</v>
      </c>
      <c r="C10" s="67" t="s">
        <v>72</v>
      </c>
      <c r="D10" s="66" t="s">
        <v>73</v>
      </c>
      <c r="E10" s="68">
        <v>293900.0</v>
      </c>
      <c r="F10" s="69">
        <f t="shared" si="1"/>
        <v>47024</v>
      </c>
      <c r="G10" s="61">
        <f t="shared" si="2"/>
        <v>87.41641026</v>
      </c>
      <c r="H10" s="43">
        <f t="shared" si="3"/>
        <v>340924</v>
      </c>
      <c r="I10" s="44" t="s">
        <v>66</v>
      </c>
      <c r="J10" s="65" t="s">
        <v>74</v>
      </c>
    </row>
    <row r="11" ht="15.0" hidden="1" customHeight="1">
      <c r="A11" s="28"/>
      <c r="B11" s="70"/>
      <c r="C11" s="44">
        <v>3.00892144E9</v>
      </c>
      <c r="D11" s="70"/>
      <c r="E11" s="70"/>
      <c r="F11" s="70"/>
      <c r="G11" s="71"/>
      <c r="H11" s="71"/>
      <c r="I11" s="71"/>
      <c r="J11" s="71"/>
    </row>
    <row r="12" ht="12.75" customHeight="1"/>
    <row r="13" ht="138.75" customHeight="1">
      <c r="A13" s="30" t="s">
        <v>75</v>
      </c>
      <c r="B13" s="4"/>
      <c r="C13" s="4"/>
      <c r="D13" s="4"/>
      <c r="E13" s="4"/>
      <c r="F13" s="4"/>
      <c r="G13" s="4"/>
      <c r="H13" s="4"/>
      <c r="I13" s="4"/>
      <c r="J13" s="5"/>
    </row>
    <row r="14" ht="12.75" customHeight="1"/>
    <row r="15" ht="75.0" customHeight="1">
      <c r="A15" s="30" t="s">
        <v>76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 r:id="rId3" location="polycard_client=search-nordic&amp;search_layout=stack&amp;position=1&amp;type=product&amp;tracking_id=3294e58d-71e8-4273-9a07-c664cf3c1474&amp;wid=MCO1369286285&amp;sid=search"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72" t="s">
        <v>77</v>
      </c>
    </row>
    <row r="2" ht="27.75" customHeight="1">
      <c r="D2" s="33" t="s">
        <v>31</v>
      </c>
    </row>
    <row r="3" ht="12.75" customHeight="1"/>
    <row r="4" ht="12.75" customHeight="1"/>
    <row r="5" ht="43.5" customHeight="1">
      <c r="A5" s="73" t="s">
        <v>2</v>
      </c>
      <c r="B5" s="4"/>
      <c r="C5" s="4"/>
      <c r="D5" s="4"/>
      <c r="E5" s="4"/>
      <c r="F5" s="4"/>
      <c r="G5" s="4"/>
      <c r="H5" s="4"/>
      <c r="I5" s="4"/>
      <c r="J5" s="5"/>
    </row>
    <row r="6" ht="15.75" customHeight="1"/>
    <row r="7" ht="75.75" customHeight="1">
      <c r="A7" s="6" t="s">
        <v>3</v>
      </c>
      <c r="B7" s="55" t="s">
        <v>78</v>
      </c>
      <c r="C7" s="55" t="s">
        <v>79</v>
      </c>
      <c r="D7" s="55" t="s">
        <v>80</v>
      </c>
      <c r="E7" s="55" t="s">
        <v>81</v>
      </c>
      <c r="F7" s="56" t="s">
        <v>82</v>
      </c>
      <c r="G7" s="57" t="s">
        <v>83</v>
      </c>
      <c r="H7" s="55" t="s">
        <v>10</v>
      </c>
      <c r="I7" s="55" t="s">
        <v>84</v>
      </c>
      <c r="J7" s="55" t="s">
        <v>85</v>
      </c>
      <c r="K7" s="10"/>
      <c r="L7" s="10"/>
      <c r="M7" s="10"/>
      <c r="N7" s="10"/>
      <c r="O7" s="10"/>
      <c r="P7" s="10"/>
      <c r="Q7" s="10"/>
      <c r="R7" s="10"/>
      <c r="S7" s="10"/>
      <c r="T7" s="10"/>
      <c r="U7" s="10"/>
      <c r="V7" s="10"/>
      <c r="W7" s="10"/>
      <c r="X7" s="10"/>
      <c r="Y7" s="10"/>
      <c r="Z7" s="10"/>
    </row>
    <row r="8" ht="50.25" customHeight="1">
      <c r="A8" s="74" t="s">
        <v>13</v>
      </c>
      <c r="B8" s="39" t="s">
        <v>86</v>
      </c>
      <c r="C8" s="13" t="s">
        <v>87</v>
      </c>
      <c r="D8" s="14" t="s">
        <v>88</v>
      </c>
      <c r="E8" s="75">
        <v>271900.0</v>
      </c>
      <c r="F8" s="76">
        <f t="shared" ref="F8:F9" si="1">E8*0.16</f>
        <v>43504</v>
      </c>
      <c r="G8" s="77">
        <f t="shared" ref="G8:G10" si="2">(E8+F8)/4000</f>
        <v>78.851</v>
      </c>
      <c r="H8" s="78">
        <f t="shared" ref="H8:H10" si="3">G8*4000</f>
        <v>315404</v>
      </c>
      <c r="I8" s="44" t="s">
        <v>66</v>
      </c>
      <c r="J8" s="14" t="s">
        <v>89</v>
      </c>
    </row>
    <row r="9" ht="50.25" customHeight="1">
      <c r="A9" s="74" t="s">
        <v>19</v>
      </c>
      <c r="B9" s="44" t="s">
        <v>90</v>
      </c>
      <c r="C9" s="13" t="s">
        <v>91</v>
      </c>
      <c r="D9" s="79" t="s">
        <v>91</v>
      </c>
      <c r="E9" s="80">
        <v>399900.0</v>
      </c>
      <c r="F9" s="76">
        <f t="shared" si="1"/>
        <v>63984</v>
      </c>
      <c r="G9" s="77">
        <f t="shared" si="2"/>
        <v>115.971</v>
      </c>
      <c r="H9" s="43">
        <f t="shared" si="3"/>
        <v>463884</v>
      </c>
      <c r="I9" s="44" t="s">
        <v>66</v>
      </c>
      <c r="J9" s="14" t="s">
        <v>92</v>
      </c>
    </row>
    <row r="10" ht="50.25" customHeight="1">
      <c r="A10" s="74" t="s">
        <v>24</v>
      </c>
      <c r="B10" s="39" t="s">
        <v>93</v>
      </c>
      <c r="C10" s="13" t="s">
        <v>94</v>
      </c>
      <c r="D10" s="39" t="s">
        <v>95</v>
      </c>
      <c r="E10" s="81">
        <v>359900.0</v>
      </c>
      <c r="F10" s="76">
        <f>E10*0.19</f>
        <v>68381</v>
      </c>
      <c r="G10" s="77">
        <f t="shared" si="2"/>
        <v>107.07025</v>
      </c>
      <c r="H10" s="43">
        <f t="shared" si="3"/>
        <v>428281</v>
      </c>
      <c r="I10" s="44" t="s">
        <v>66</v>
      </c>
      <c r="J10" s="39" t="s">
        <v>96</v>
      </c>
    </row>
    <row r="11" ht="15.0" hidden="1" customHeight="1">
      <c r="A11" s="28"/>
      <c r="B11" s="82"/>
      <c r="C11" s="82"/>
      <c r="D11" s="82"/>
      <c r="E11" s="82"/>
      <c r="F11" s="82"/>
      <c r="G11" s="82"/>
      <c r="H11" s="82"/>
      <c r="I11" s="82"/>
      <c r="J11" s="82"/>
    </row>
    <row r="12" ht="12.75" customHeight="1"/>
    <row r="13" ht="138.75" customHeight="1">
      <c r="A13" s="30" t="s">
        <v>97</v>
      </c>
      <c r="B13" s="4"/>
      <c r="C13" s="4"/>
      <c r="D13" s="4"/>
      <c r="E13" s="4"/>
      <c r="F13" s="4"/>
      <c r="G13" s="4"/>
      <c r="H13" s="4"/>
      <c r="I13" s="4"/>
      <c r="J13" s="5"/>
    </row>
    <row r="14" ht="12.75" customHeight="1"/>
    <row r="15" ht="75.0" customHeight="1">
      <c r="A15" s="30" t="s">
        <v>98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83" t="s">
        <v>99</v>
      </c>
    </row>
    <row r="2" ht="27.75" customHeight="1">
      <c r="D2" s="33" t="s">
        <v>31</v>
      </c>
    </row>
    <row r="3" ht="12.75" customHeight="1"/>
    <row r="4" ht="12.75" customHeight="1"/>
    <row r="5" ht="43.5" customHeight="1">
      <c r="A5" s="3" t="s">
        <v>2</v>
      </c>
      <c r="B5" s="4"/>
      <c r="C5" s="4"/>
      <c r="D5" s="4"/>
      <c r="E5" s="4"/>
      <c r="F5" s="4"/>
      <c r="G5" s="4"/>
      <c r="H5" s="4"/>
      <c r="I5" s="4"/>
      <c r="J5" s="5"/>
    </row>
    <row r="6" ht="15.75" customHeight="1"/>
    <row r="7" ht="75.75" customHeight="1">
      <c r="A7" s="6" t="s">
        <v>3</v>
      </c>
      <c r="B7" s="55" t="s">
        <v>100</v>
      </c>
      <c r="C7" s="55" t="s">
        <v>101</v>
      </c>
      <c r="D7" s="55" t="s">
        <v>102</v>
      </c>
      <c r="E7" s="55" t="s">
        <v>103</v>
      </c>
      <c r="F7" s="56" t="s">
        <v>104</v>
      </c>
      <c r="G7" s="84" t="s">
        <v>105</v>
      </c>
      <c r="H7" s="55" t="s">
        <v>10</v>
      </c>
      <c r="I7" s="55" t="s">
        <v>106</v>
      </c>
      <c r="J7" s="55" t="s">
        <v>107</v>
      </c>
      <c r="K7" s="10"/>
      <c r="L7" s="10"/>
      <c r="M7" s="10"/>
      <c r="N7" s="10"/>
      <c r="O7" s="10"/>
      <c r="P7" s="10"/>
      <c r="Q7" s="10"/>
      <c r="R7" s="10"/>
      <c r="S7" s="10"/>
      <c r="T7" s="10"/>
      <c r="U7" s="10"/>
      <c r="V7" s="10"/>
      <c r="W7" s="10"/>
      <c r="X7" s="10"/>
      <c r="Y7" s="10"/>
      <c r="Z7" s="10"/>
    </row>
    <row r="8" ht="50.25" customHeight="1">
      <c r="A8" s="74" t="s">
        <v>13</v>
      </c>
      <c r="B8" s="39" t="s">
        <v>14</v>
      </c>
      <c r="C8" s="13" t="s">
        <v>108</v>
      </c>
      <c r="D8" s="39" t="s">
        <v>109</v>
      </c>
      <c r="E8" s="76">
        <v>8400000.0</v>
      </c>
      <c r="F8" s="76">
        <f t="shared" ref="F8:F10" si="1">E8*1.19</f>
        <v>9996000</v>
      </c>
      <c r="G8" s="61">
        <f t="shared" ref="G8:G10" si="2">(F8+E8)/3900</f>
        <v>4716.923077</v>
      </c>
      <c r="H8" s="43">
        <f t="shared" ref="H8:H10" si="3">G8*3900</f>
        <v>18396000</v>
      </c>
      <c r="I8" s="44" t="s">
        <v>66</v>
      </c>
      <c r="J8" s="14" t="s">
        <v>110</v>
      </c>
    </row>
    <row r="9" ht="50.25" customHeight="1">
      <c r="A9" s="74" t="s">
        <v>19</v>
      </c>
      <c r="B9" s="85" t="s">
        <v>14</v>
      </c>
      <c r="C9" s="13" t="s">
        <v>111</v>
      </c>
      <c r="D9" s="14" t="s">
        <v>112</v>
      </c>
      <c r="E9" s="80">
        <v>1199999.0</v>
      </c>
      <c r="F9" s="76">
        <f t="shared" si="1"/>
        <v>1427998.81</v>
      </c>
      <c r="G9" s="61">
        <f t="shared" si="2"/>
        <v>673.8455923</v>
      </c>
      <c r="H9" s="43">
        <f t="shared" si="3"/>
        <v>2627997.81</v>
      </c>
      <c r="I9" s="44" t="s">
        <v>66</v>
      </c>
      <c r="J9" s="14" t="s">
        <v>113</v>
      </c>
    </row>
    <row r="10" ht="50.25" customHeight="1">
      <c r="A10" s="74" t="s">
        <v>24</v>
      </c>
      <c r="B10" s="39" t="s">
        <v>114</v>
      </c>
      <c r="C10" s="13" t="s">
        <v>115</v>
      </c>
      <c r="D10" s="14" t="s">
        <v>116</v>
      </c>
      <c r="E10" s="75">
        <v>4810000.0</v>
      </c>
      <c r="F10" s="76">
        <f t="shared" si="1"/>
        <v>5723900</v>
      </c>
      <c r="G10" s="61">
        <f t="shared" si="2"/>
        <v>2701</v>
      </c>
      <c r="H10" s="43">
        <f t="shared" si="3"/>
        <v>10533900</v>
      </c>
      <c r="I10" s="44" t="s">
        <v>66</v>
      </c>
      <c r="J10" s="39" t="s">
        <v>117</v>
      </c>
    </row>
    <row r="11" ht="15.0" hidden="1" customHeight="1">
      <c r="A11" s="28"/>
      <c r="B11" s="82"/>
      <c r="C11" s="82"/>
      <c r="D11" s="82"/>
      <c r="E11" s="82"/>
      <c r="F11" s="82"/>
      <c r="G11" s="82"/>
      <c r="H11" s="82"/>
      <c r="I11" s="82"/>
      <c r="J11" s="82"/>
    </row>
    <row r="12" ht="12.75" customHeight="1"/>
    <row r="13" ht="138.75" customHeight="1">
      <c r="A13" s="30" t="s">
        <v>118</v>
      </c>
      <c r="B13" s="4"/>
      <c r="C13" s="4"/>
      <c r="D13" s="4"/>
      <c r="E13" s="4"/>
      <c r="F13" s="4"/>
      <c r="G13" s="4"/>
      <c r="H13" s="4"/>
      <c r="I13" s="4"/>
      <c r="J13" s="5"/>
    </row>
    <row r="14" ht="12.75" customHeight="1"/>
    <row r="15" ht="75.0" customHeight="1">
      <c r="A15" s="30" t="s">
        <v>119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sition=8&amp;search_layout=stack&amp;type=item&amp;tracking_id=6ce23d24-4588-4653-bb99-db7e1509e5aa" ref="C8"/>
    <hyperlink r:id="rId2" location="position=4&amp;search_layout=stack&amp;type=item&amp;tracking_id=aa17d476-2270-48e4-afc3-371dfada513d"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52" t="s">
        <v>120</v>
      </c>
    </row>
    <row r="2" ht="27.75" customHeight="1">
      <c r="D2" s="86" t="s">
        <v>31</v>
      </c>
    </row>
    <row r="3" ht="12.75" customHeight="1"/>
    <row r="4" ht="12.75" customHeight="1"/>
    <row r="5" ht="43.5" customHeight="1">
      <c r="A5" s="87">
        <v>0.0</v>
      </c>
      <c r="B5" s="4"/>
      <c r="C5" s="4"/>
      <c r="D5" s="4"/>
      <c r="E5" s="4"/>
      <c r="F5" s="4"/>
      <c r="G5" s="4"/>
      <c r="H5" s="4"/>
      <c r="I5" s="4"/>
      <c r="J5" s="5"/>
    </row>
    <row r="6" ht="15.75" customHeight="1"/>
    <row r="7" ht="75.75" customHeight="1">
      <c r="A7" s="6" t="s">
        <v>3</v>
      </c>
      <c r="B7" s="55" t="s">
        <v>121</v>
      </c>
      <c r="C7" s="55" t="s">
        <v>122</v>
      </c>
      <c r="D7" s="55" t="s">
        <v>123</v>
      </c>
      <c r="E7" s="55" t="s">
        <v>124</v>
      </c>
      <c r="F7" s="56" t="s">
        <v>125</v>
      </c>
      <c r="G7" s="57" t="s">
        <v>126</v>
      </c>
      <c r="H7" s="55" t="s">
        <v>10</v>
      </c>
      <c r="I7" s="55" t="s">
        <v>127</v>
      </c>
      <c r="J7" s="55" t="s">
        <v>128</v>
      </c>
      <c r="K7" s="10"/>
      <c r="L7" s="10"/>
      <c r="M7" s="10"/>
      <c r="N7" s="10"/>
      <c r="O7" s="10"/>
      <c r="P7" s="10"/>
      <c r="Q7" s="10"/>
      <c r="R7" s="10"/>
      <c r="S7" s="10"/>
      <c r="T7" s="10"/>
      <c r="U7" s="10"/>
      <c r="V7" s="10"/>
      <c r="W7" s="10"/>
      <c r="X7" s="10"/>
      <c r="Y7" s="10"/>
      <c r="Z7" s="10"/>
    </row>
    <row r="8" ht="50.25" customHeight="1">
      <c r="A8" s="74" t="s">
        <v>13</v>
      </c>
      <c r="B8" s="39" t="s">
        <v>68</v>
      </c>
      <c r="C8" s="13" t="s">
        <v>129</v>
      </c>
      <c r="D8" s="64" t="s">
        <v>130</v>
      </c>
      <c r="E8" s="88">
        <v>56000.0</v>
      </c>
      <c r="F8" s="76">
        <f t="shared" ref="F8:F10" si="1">E8*0.16</f>
        <v>8960</v>
      </c>
      <c r="G8" s="61">
        <f t="shared" ref="G8:G10" si="2">(E8+F8)/3900</f>
        <v>16.65641026</v>
      </c>
      <c r="H8" s="43">
        <f t="shared" ref="H8:H10" si="3">G8*3900</f>
        <v>64960</v>
      </c>
      <c r="I8" s="44" t="s">
        <v>17</v>
      </c>
      <c r="J8" s="89" t="s">
        <v>131</v>
      </c>
    </row>
    <row r="9" ht="50.25" customHeight="1">
      <c r="A9" s="74" t="s">
        <v>19</v>
      </c>
      <c r="B9" s="63" t="s">
        <v>20</v>
      </c>
      <c r="C9" s="13" t="s">
        <v>132</v>
      </c>
      <c r="D9" s="51" t="s">
        <v>133</v>
      </c>
      <c r="E9" s="90">
        <v>238000.0</v>
      </c>
      <c r="F9" s="76">
        <f t="shared" si="1"/>
        <v>38080</v>
      </c>
      <c r="G9" s="61">
        <f t="shared" si="2"/>
        <v>70.78974359</v>
      </c>
      <c r="H9" s="43">
        <f t="shared" si="3"/>
        <v>276080</v>
      </c>
      <c r="I9" s="44" t="s">
        <v>17</v>
      </c>
      <c r="J9" s="89"/>
    </row>
    <row r="10" ht="50.25" customHeight="1">
      <c r="A10" s="74" t="s">
        <v>24</v>
      </c>
      <c r="B10" s="91" t="s">
        <v>93</v>
      </c>
      <c r="C10" s="13" t="s">
        <v>134</v>
      </c>
      <c r="D10" s="66" t="s">
        <v>135</v>
      </c>
      <c r="E10" s="92">
        <v>189000.0</v>
      </c>
      <c r="F10" s="93">
        <f t="shared" si="1"/>
        <v>30240</v>
      </c>
      <c r="G10" s="61">
        <f t="shared" si="2"/>
        <v>56.21538462</v>
      </c>
      <c r="H10" s="43">
        <f t="shared" si="3"/>
        <v>219240</v>
      </c>
      <c r="I10" s="44" t="s">
        <v>17</v>
      </c>
      <c r="J10" s="94" t="s">
        <v>136</v>
      </c>
    </row>
    <row r="11" ht="15.0" hidden="1" customHeight="1">
      <c r="A11" s="95"/>
      <c r="B11" s="70"/>
      <c r="C11" s="44" t="s">
        <v>137</v>
      </c>
      <c r="D11" s="70"/>
      <c r="E11" s="70"/>
      <c r="F11" s="70"/>
      <c r="G11" s="71"/>
      <c r="H11" s="71"/>
      <c r="I11" s="71"/>
      <c r="J11" s="71"/>
    </row>
    <row r="12" ht="12.75" customHeight="1"/>
    <row r="13" ht="138.75" customHeight="1">
      <c r="A13" s="30" t="s">
        <v>138</v>
      </c>
      <c r="B13" s="4"/>
      <c r="C13" s="4"/>
      <c r="D13" s="4"/>
      <c r="E13" s="4"/>
      <c r="F13" s="4"/>
      <c r="G13" s="4"/>
      <c r="H13" s="4"/>
      <c r="I13" s="4"/>
      <c r="J13" s="5"/>
    </row>
    <row r="14" ht="12.75" customHeight="1"/>
    <row r="15" ht="75.0" customHeight="1">
      <c r="A15" s="30" t="s">
        <v>139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33" t="s">
        <v>31</v>
      </c>
    </row>
    <row r="3" ht="12.75" customHeight="1"/>
    <row r="4" ht="12.75" customHeight="1"/>
    <row r="5" ht="43.5" customHeight="1">
      <c r="A5" s="53" t="s">
        <v>2</v>
      </c>
      <c r="B5" s="4"/>
      <c r="C5" s="4"/>
      <c r="D5" s="4"/>
      <c r="E5" s="4"/>
      <c r="F5" s="4"/>
      <c r="G5" s="4"/>
      <c r="H5" s="4"/>
      <c r="I5" s="4"/>
      <c r="J5" s="5"/>
    </row>
    <row r="6" ht="15.75" customHeight="1"/>
    <row r="7" ht="75.75" customHeight="1">
      <c r="A7" s="6" t="s">
        <v>3</v>
      </c>
      <c r="B7" s="55" t="s">
        <v>140</v>
      </c>
      <c r="C7" s="55" t="s">
        <v>141</v>
      </c>
      <c r="D7" s="55" t="s">
        <v>142</v>
      </c>
      <c r="E7" s="55" t="s">
        <v>143</v>
      </c>
      <c r="F7" s="56" t="s">
        <v>144</v>
      </c>
      <c r="G7" s="57" t="s">
        <v>145</v>
      </c>
      <c r="H7" s="55" t="s">
        <v>10</v>
      </c>
      <c r="I7" s="55" t="s">
        <v>146</v>
      </c>
      <c r="J7" s="55" t="s">
        <v>147</v>
      </c>
      <c r="K7" s="10"/>
      <c r="L7" s="10"/>
      <c r="M7" s="10"/>
      <c r="N7" s="10"/>
      <c r="O7" s="10"/>
      <c r="P7" s="10"/>
      <c r="Q7" s="10"/>
      <c r="R7" s="10"/>
      <c r="S7" s="10"/>
      <c r="T7" s="10"/>
      <c r="U7" s="10"/>
      <c r="V7" s="10"/>
      <c r="W7" s="10"/>
      <c r="X7" s="10"/>
      <c r="Y7" s="10"/>
      <c r="Z7" s="10"/>
    </row>
    <row r="8" ht="50.25" customHeight="1">
      <c r="A8" s="74" t="s">
        <v>13</v>
      </c>
      <c r="B8" s="44" t="s">
        <v>148</v>
      </c>
      <c r="C8" s="96" t="s">
        <v>149</v>
      </c>
      <c r="D8" s="85" t="s">
        <v>150</v>
      </c>
      <c r="E8" s="76">
        <v>399000.0</v>
      </c>
      <c r="F8" s="76">
        <f t="shared" ref="F8:F10" si="1">E8*1.19</f>
        <v>474810</v>
      </c>
      <c r="G8" s="61">
        <f t="shared" ref="G8:G10" si="2">(F8+E8)/3900</f>
        <v>224.0538462</v>
      </c>
      <c r="H8" s="43">
        <f t="shared" ref="H8:H10" si="3">G8*3900</f>
        <v>873810</v>
      </c>
      <c r="I8" s="44" t="s">
        <v>17</v>
      </c>
      <c r="J8" s="97" t="s">
        <v>151</v>
      </c>
    </row>
    <row r="9" ht="50.25" customHeight="1">
      <c r="A9" s="74" t="s">
        <v>19</v>
      </c>
      <c r="B9" s="85" t="s">
        <v>152</v>
      </c>
      <c r="C9" s="96" t="s">
        <v>153</v>
      </c>
      <c r="D9" s="97" t="s">
        <v>154</v>
      </c>
      <c r="E9" s="80">
        <v>180039.0</v>
      </c>
      <c r="F9" s="76">
        <f t="shared" si="1"/>
        <v>214246.41</v>
      </c>
      <c r="G9" s="61">
        <f t="shared" si="2"/>
        <v>101.0988231</v>
      </c>
      <c r="H9" s="43">
        <f t="shared" si="3"/>
        <v>394285.41</v>
      </c>
      <c r="I9" s="44" t="s">
        <v>17</v>
      </c>
      <c r="J9" s="97" t="s">
        <v>155</v>
      </c>
    </row>
    <row r="10" ht="50.25" customHeight="1">
      <c r="A10" s="74" t="s">
        <v>24</v>
      </c>
      <c r="B10" s="44" t="s">
        <v>156</v>
      </c>
      <c r="C10" s="96" t="s">
        <v>157</v>
      </c>
      <c r="D10" s="98" t="s">
        <v>158</v>
      </c>
      <c r="E10" s="80">
        <v>99000.0</v>
      </c>
      <c r="F10" s="76">
        <f t="shared" si="1"/>
        <v>117810</v>
      </c>
      <c r="G10" s="61">
        <f t="shared" si="2"/>
        <v>55.59230769</v>
      </c>
      <c r="H10" s="43">
        <f t="shared" si="3"/>
        <v>216810</v>
      </c>
      <c r="I10" s="44" t="s">
        <v>17</v>
      </c>
      <c r="J10" s="99" t="s">
        <v>159</v>
      </c>
    </row>
    <row r="11" ht="15.0" hidden="1" customHeight="1">
      <c r="A11" s="28"/>
      <c r="B11" s="82"/>
      <c r="C11" s="82"/>
      <c r="D11" s="82"/>
      <c r="E11" s="82"/>
      <c r="F11" s="82"/>
      <c r="G11" s="82"/>
      <c r="H11" s="82"/>
      <c r="I11" s="82"/>
      <c r="J11" s="82"/>
    </row>
    <row r="12" ht="12.75" customHeight="1"/>
    <row r="13" ht="138.75" customHeight="1">
      <c r="A13" s="30" t="s">
        <v>160</v>
      </c>
      <c r="B13" s="4"/>
      <c r="C13" s="4"/>
      <c r="D13" s="4"/>
      <c r="E13" s="4"/>
      <c r="F13" s="4"/>
      <c r="G13" s="4"/>
      <c r="H13" s="4"/>
      <c r="I13" s="4"/>
      <c r="J13" s="5"/>
    </row>
    <row r="14" ht="12.75" customHeight="1"/>
    <row r="15" ht="75.0" customHeight="1">
      <c r="A15" s="30" t="s">
        <v>161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52" t="s">
        <v>162</v>
      </c>
    </row>
    <row r="2" ht="27.75" customHeight="1">
      <c r="D2" s="33" t="s">
        <v>31</v>
      </c>
    </row>
    <row r="3" ht="12.75" customHeight="1"/>
    <row r="4" ht="12.75" customHeight="1"/>
    <row r="5" ht="43.5" customHeight="1">
      <c r="A5" s="73" t="s">
        <v>2</v>
      </c>
      <c r="B5" s="4"/>
      <c r="C5" s="4"/>
      <c r="D5" s="4"/>
      <c r="E5" s="4"/>
      <c r="F5" s="4"/>
      <c r="G5" s="4"/>
      <c r="H5" s="4"/>
      <c r="I5" s="4"/>
      <c r="J5" s="5"/>
    </row>
    <row r="6" ht="15.75" customHeight="1"/>
    <row r="7" ht="75.75" customHeight="1">
      <c r="A7" s="6" t="s">
        <v>3</v>
      </c>
      <c r="B7" s="55" t="s">
        <v>163</v>
      </c>
      <c r="C7" s="55" t="s">
        <v>164</v>
      </c>
      <c r="D7" s="55" t="s">
        <v>165</v>
      </c>
      <c r="E7" s="55" t="s">
        <v>166</v>
      </c>
      <c r="F7" s="56" t="s">
        <v>167</v>
      </c>
      <c r="G7" s="57" t="s">
        <v>168</v>
      </c>
      <c r="H7" s="55" t="s">
        <v>10</v>
      </c>
      <c r="I7" s="55" t="s">
        <v>169</v>
      </c>
      <c r="J7" s="55" t="s">
        <v>170</v>
      </c>
      <c r="K7" s="10"/>
      <c r="L7" s="10"/>
      <c r="M7" s="10"/>
      <c r="N7" s="10"/>
      <c r="O7" s="10"/>
      <c r="P7" s="10"/>
      <c r="Q7" s="10"/>
      <c r="R7" s="10"/>
      <c r="S7" s="10"/>
      <c r="T7" s="10"/>
      <c r="U7" s="10"/>
      <c r="V7" s="10"/>
      <c r="W7" s="10"/>
      <c r="X7" s="10"/>
      <c r="Y7" s="10"/>
      <c r="Z7" s="10"/>
    </row>
    <row r="8" ht="50.25" customHeight="1">
      <c r="A8" s="74" t="s">
        <v>13</v>
      </c>
      <c r="B8" s="39" t="s">
        <v>93</v>
      </c>
      <c r="C8" s="13" t="s">
        <v>171</v>
      </c>
      <c r="D8" s="100" t="s">
        <v>172</v>
      </c>
      <c r="E8" s="75">
        <v>99900.0</v>
      </c>
      <c r="F8" s="76">
        <f t="shared" ref="F8:F10" si="1">E8*0.16</f>
        <v>15984</v>
      </c>
      <c r="G8" s="61">
        <f t="shared" ref="G8:G10" si="2">(E8+F8)/3900</f>
        <v>29.71384615</v>
      </c>
      <c r="H8" s="101">
        <f t="shared" ref="H8:H10" si="3">G8*3900</f>
        <v>115884</v>
      </c>
      <c r="I8" s="102" t="s">
        <v>66</v>
      </c>
      <c r="J8" s="103" t="s">
        <v>173</v>
      </c>
    </row>
    <row r="9" ht="50.25" customHeight="1">
      <c r="A9" s="74" t="s">
        <v>19</v>
      </c>
      <c r="B9" s="63" t="s">
        <v>174</v>
      </c>
      <c r="C9" s="13" t="s">
        <v>175</v>
      </c>
      <c r="D9" s="39" t="s">
        <v>176</v>
      </c>
      <c r="E9" s="81">
        <v>40000.0</v>
      </c>
      <c r="F9" s="76">
        <f t="shared" si="1"/>
        <v>6400</v>
      </c>
      <c r="G9" s="61">
        <f t="shared" si="2"/>
        <v>11.8974359</v>
      </c>
      <c r="H9" s="101">
        <f t="shared" si="3"/>
        <v>46400</v>
      </c>
      <c r="I9" s="102" t="s">
        <v>66</v>
      </c>
      <c r="J9" s="104" t="s">
        <v>177</v>
      </c>
    </row>
    <row r="10" ht="50.25" customHeight="1">
      <c r="A10" s="74" t="s">
        <v>24</v>
      </c>
      <c r="B10" s="39" t="s">
        <v>178</v>
      </c>
      <c r="C10" s="13" t="s">
        <v>179</v>
      </c>
      <c r="D10" s="39" t="s">
        <v>180</v>
      </c>
      <c r="E10" s="75">
        <v>30000.0</v>
      </c>
      <c r="F10" s="76">
        <f t="shared" si="1"/>
        <v>4800</v>
      </c>
      <c r="G10" s="61">
        <f t="shared" si="2"/>
        <v>8.923076923</v>
      </c>
      <c r="H10" s="101">
        <f t="shared" si="3"/>
        <v>34800</v>
      </c>
      <c r="I10" s="102" t="s">
        <v>66</v>
      </c>
      <c r="J10" s="103" t="s">
        <v>181</v>
      </c>
    </row>
    <row r="11" ht="15.0" hidden="1" customHeight="1">
      <c r="A11" s="28"/>
      <c r="B11" s="82"/>
      <c r="C11" s="82"/>
      <c r="D11" s="82"/>
      <c r="E11" s="82"/>
      <c r="F11" s="82"/>
      <c r="G11" s="82"/>
      <c r="H11" s="82"/>
      <c r="I11" s="105" t="s">
        <v>66</v>
      </c>
      <c r="J11" s="82"/>
    </row>
    <row r="12" ht="12.75" customHeight="1"/>
    <row r="13" ht="138.75" customHeight="1">
      <c r="A13" s="30" t="s">
        <v>182</v>
      </c>
      <c r="B13" s="4"/>
      <c r="C13" s="4"/>
      <c r="D13" s="4"/>
      <c r="E13" s="4"/>
      <c r="F13" s="4"/>
      <c r="G13" s="4"/>
      <c r="H13" s="4"/>
      <c r="I13" s="4"/>
      <c r="J13" s="5"/>
    </row>
    <row r="14" ht="12.75" customHeight="1"/>
    <row r="15" ht="75.0" customHeight="1">
      <c r="A15" s="30" t="s">
        <v>183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33" t="s">
        <v>31</v>
      </c>
    </row>
    <row r="3" ht="12.75" customHeight="1"/>
    <row r="4" ht="12.75" customHeight="1"/>
    <row r="5" ht="43.5" customHeight="1">
      <c r="A5" s="3" t="s">
        <v>2</v>
      </c>
      <c r="B5" s="4"/>
      <c r="C5" s="4"/>
      <c r="D5" s="4"/>
      <c r="E5" s="4"/>
      <c r="F5" s="4"/>
      <c r="G5" s="4"/>
      <c r="H5" s="4"/>
      <c r="I5" s="4"/>
      <c r="J5" s="5"/>
    </row>
    <row r="6" ht="15.75" customHeight="1"/>
    <row r="7" ht="75.75" customHeight="1">
      <c r="A7" s="6" t="s">
        <v>3</v>
      </c>
      <c r="B7" s="55" t="s">
        <v>184</v>
      </c>
      <c r="C7" s="55" t="s">
        <v>185</v>
      </c>
      <c r="D7" s="55" t="s">
        <v>186</v>
      </c>
      <c r="E7" s="55" t="s">
        <v>187</v>
      </c>
      <c r="F7" s="56" t="s">
        <v>188</v>
      </c>
      <c r="G7" s="57" t="s">
        <v>189</v>
      </c>
      <c r="H7" s="55" t="s">
        <v>10</v>
      </c>
      <c r="I7" s="55" t="s">
        <v>190</v>
      </c>
      <c r="J7" s="55" t="s">
        <v>191</v>
      </c>
      <c r="K7" s="10"/>
      <c r="L7" s="10"/>
      <c r="M7" s="10"/>
      <c r="N7" s="10"/>
      <c r="O7" s="10"/>
      <c r="P7" s="10"/>
      <c r="Q7" s="10"/>
      <c r="R7" s="10"/>
      <c r="S7" s="10"/>
      <c r="T7" s="10"/>
      <c r="U7" s="10"/>
      <c r="V7" s="10"/>
      <c r="W7" s="10"/>
      <c r="X7" s="10"/>
      <c r="Y7" s="10"/>
      <c r="Z7" s="10"/>
    </row>
    <row r="8" ht="50.25" customHeight="1">
      <c r="A8" s="74" t="s">
        <v>13</v>
      </c>
      <c r="B8" s="39" t="s">
        <v>44</v>
      </c>
      <c r="C8" s="13" t="s">
        <v>192</v>
      </c>
      <c r="D8" s="14" t="s">
        <v>193</v>
      </c>
      <c r="E8" s="75">
        <v>3299000.0</v>
      </c>
      <c r="F8" s="80">
        <f t="shared" ref="F8:F10" si="1">E8*0.16</f>
        <v>527840</v>
      </c>
      <c r="G8" s="61">
        <f t="shared" ref="G8:G10" si="2">(E8+F8)/3900</f>
        <v>981.2410256</v>
      </c>
      <c r="H8" s="43">
        <f t="shared" ref="H8:H10" si="3">G8*3900</f>
        <v>3826840</v>
      </c>
      <c r="I8" s="44" t="s">
        <v>66</v>
      </c>
      <c r="J8" s="106" t="s">
        <v>194</v>
      </c>
    </row>
    <row r="9" ht="50.25" customHeight="1">
      <c r="A9" s="74" t="s">
        <v>19</v>
      </c>
      <c r="B9" s="63" t="s">
        <v>20</v>
      </c>
      <c r="C9" s="13" t="s">
        <v>195</v>
      </c>
      <c r="D9" s="14" t="s">
        <v>196</v>
      </c>
      <c r="E9" s="81">
        <v>3099000.0</v>
      </c>
      <c r="F9" s="80">
        <f t="shared" si="1"/>
        <v>495840</v>
      </c>
      <c r="G9" s="61">
        <f t="shared" si="2"/>
        <v>921.7538462</v>
      </c>
      <c r="H9" s="43">
        <f t="shared" si="3"/>
        <v>3594840</v>
      </c>
      <c r="I9" s="44" t="s">
        <v>66</v>
      </c>
      <c r="J9" s="107" t="s">
        <v>197</v>
      </c>
    </row>
    <row r="10" ht="50.25" customHeight="1">
      <c r="A10" s="74" t="s">
        <v>24</v>
      </c>
      <c r="B10" s="44" t="s">
        <v>90</v>
      </c>
      <c r="C10" s="13" t="s">
        <v>198</v>
      </c>
      <c r="D10" s="14" t="s">
        <v>199</v>
      </c>
      <c r="E10" s="75">
        <v>2489060.0</v>
      </c>
      <c r="F10" s="80">
        <f t="shared" si="1"/>
        <v>398249.6</v>
      </c>
      <c r="G10" s="61">
        <f t="shared" si="2"/>
        <v>740.3357949</v>
      </c>
      <c r="H10" s="43">
        <f t="shared" si="3"/>
        <v>2887309.6</v>
      </c>
      <c r="I10" s="44" t="s">
        <v>66</v>
      </c>
      <c r="J10" s="107" t="s">
        <v>200</v>
      </c>
    </row>
    <row r="11" ht="15.0" hidden="1" customHeight="1">
      <c r="A11" s="28"/>
      <c r="B11" s="82"/>
      <c r="C11" s="82"/>
      <c r="D11" s="82"/>
      <c r="E11" s="82"/>
      <c r="F11" s="82"/>
      <c r="G11" s="82"/>
      <c r="H11" s="82"/>
      <c r="I11" s="82"/>
      <c r="J11" s="82"/>
    </row>
    <row r="12" ht="12.75" customHeight="1"/>
    <row r="13" ht="138.75" customHeight="1">
      <c r="A13" s="30" t="s">
        <v>201</v>
      </c>
      <c r="B13" s="4"/>
      <c r="C13" s="4"/>
      <c r="D13" s="4"/>
      <c r="E13" s="4"/>
      <c r="F13" s="4"/>
      <c r="G13" s="4"/>
      <c r="H13" s="4"/>
      <c r="I13" s="4"/>
      <c r="J13" s="5"/>
    </row>
    <row r="14" ht="12.75" customHeight="1"/>
    <row r="15" ht="75.0" customHeight="1">
      <c r="A15" s="30" t="s">
        <v>202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08"/>
    </row>
    <row r="2" ht="27.75" customHeight="1">
      <c r="D2" s="33" t="s">
        <v>31</v>
      </c>
    </row>
    <row r="3" ht="12.75" customHeight="1"/>
    <row r="4" ht="12.75" customHeight="1"/>
    <row r="5" ht="43.5" customHeight="1">
      <c r="A5" s="34" t="s">
        <v>2</v>
      </c>
      <c r="B5" s="4"/>
      <c r="C5" s="4"/>
      <c r="D5" s="4"/>
      <c r="E5" s="4"/>
      <c r="F5" s="4"/>
      <c r="G5" s="4"/>
      <c r="H5" s="4"/>
      <c r="I5" s="4"/>
      <c r="J5" s="5"/>
    </row>
    <row r="6" ht="15.75" customHeight="1"/>
    <row r="7" ht="75.75" customHeight="1">
      <c r="A7" s="6" t="s">
        <v>3</v>
      </c>
      <c r="B7" s="55" t="s">
        <v>203</v>
      </c>
      <c r="C7" s="55" t="s">
        <v>204</v>
      </c>
      <c r="D7" s="55" t="s">
        <v>205</v>
      </c>
      <c r="E7" s="55" t="s">
        <v>206</v>
      </c>
      <c r="F7" s="56" t="s">
        <v>207</v>
      </c>
      <c r="G7" s="57" t="s">
        <v>208</v>
      </c>
      <c r="H7" s="55" t="s">
        <v>10</v>
      </c>
      <c r="I7" s="55" t="s">
        <v>209</v>
      </c>
      <c r="J7" s="55" t="s">
        <v>210</v>
      </c>
      <c r="K7" s="10"/>
      <c r="L7" s="10"/>
      <c r="M7" s="10"/>
      <c r="N7" s="10"/>
      <c r="O7" s="10"/>
      <c r="P7" s="10"/>
      <c r="Q7" s="10"/>
      <c r="R7" s="10"/>
      <c r="S7" s="10"/>
      <c r="T7" s="10"/>
      <c r="U7" s="10"/>
      <c r="V7" s="10"/>
      <c r="W7" s="10"/>
      <c r="X7" s="10"/>
      <c r="Y7" s="10"/>
      <c r="Z7" s="10"/>
    </row>
    <row r="8" ht="50.25" customHeight="1">
      <c r="A8" s="74" t="s">
        <v>13</v>
      </c>
      <c r="B8" s="44" t="s">
        <v>44</v>
      </c>
      <c r="C8" s="96" t="s">
        <v>211</v>
      </c>
      <c r="D8" s="79" t="s">
        <v>212</v>
      </c>
      <c r="E8" s="80">
        <v>1099900.0</v>
      </c>
      <c r="F8" s="80">
        <f t="shared" ref="F8:F10" si="1">E8*1.19</f>
        <v>1308881</v>
      </c>
      <c r="G8" s="61">
        <f t="shared" ref="G8:G10" si="2">(F8+E8)/3900</f>
        <v>617.6361538</v>
      </c>
      <c r="H8" s="43">
        <f t="shared" ref="H8:H10" si="3">G8*3900</f>
        <v>2408781</v>
      </c>
      <c r="I8" s="44" t="s">
        <v>17</v>
      </c>
      <c r="J8" s="109" t="s">
        <v>213</v>
      </c>
    </row>
    <row r="9" ht="50.25" customHeight="1">
      <c r="A9" s="74" t="s">
        <v>19</v>
      </c>
      <c r="B9" s="44" t="s">
        <v>214</v>
      </c>
      <c r="C9" s="110" t="s">
        <v>215</v>
      </c>
      <c r="D9" s="111" t="s">
        <v>216</v>
      </c>
      <c r="E9" s="76">
        <v>1313900.0</v>
      </c>
      <c r="F9" s="80">
        <f t="shared" si="1"/>
        <v>1563541</v>
      </c>
      <c r="G9" s="61">
        <f t="shared" si="2"/>
        <v>737.8053846</v>
      </c>
      <c r="H9" s="43">
        <f t="shared" si="3"/>
        <v>2877441</v>
      </c>
      <c r="I9" s="44" t="s">
        <v>17</v>
      </c>
      <c r="J9" s="111" t="s">
        <v>217</v>
      </c>
    </row>
    <row r="10" ht="50.25" customHeight="1">
      <c r="A10" s="74" t="s">
        <v>24</v>
      </c>
      <c r="B10" s="39" t="s">
        <v>218</v>
      </c>
      <c r="C10" s="96" t="s">
        <v>219</v>
      </c>
      <c r="D10" s="14" t="s">
        <v>220</v>
      </c>
      <c r="E10" s="75">
        <v>799900.0</v>
      </c>
      <c r="F10" s="80">
        <f t="shared" si="1"/>
        <v>951881</v>
      </c>
      <c r="G10" s="61">
        <f t="shared" si="2"/>
        <v>449.1746154</v>
      </c>
      <c r="H10" s="43">
        <f t="shared" si="3"/>
        <v>1751781</v>
      </c>
      <c r="I10" s="44" t="s">
        <v>17</v>
      </c>
      <c r="J10" s="64" t="s">
        <v>221</v>
      </c>
    </row>
    <row r="11" ht="15.0" hidden="1" customHeight="1">
      <c r="A11" s="28"/>
      <c r="B11" s="82"/>
      <c r="C11" s="82"/>
      <c r="D11" s="82"/>
      <c r="E11" s="82"/>
      <c r="F11" s="82"/>
      <c r="G11" s="82"/>
      <c r="H11" s="82"/>
      <c r="I11" s="82"/>
      <c r="J11" s="82"/>
    </row>
    <row r="12" ht="12.75" customHeight="1"/>
    <row r="13" ht="138.75" customHeight="1">
      <c r="A13" s="30"/>
      <c r="B13" s="4"/>
      <c r="C13" s="4"/>
      <c r="D13" s="4"/>
      <c r="E13" s="4"/>
      <c r="F13" s="4"/>
      <c r="G13" s="4"/>
      <c r="H13" s="4"/>
      <c r="I13" s="4"/>
      <c r="J13" s="5"/>
    </row>
    <row r="14" ht="12.75" customHeight="1"/>
    <row r="15" ht="75.0" customHeight="1">
      <c r="A15" s="30" t="s">
        <v>222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is_advertising=true&amp;searchVariation=MCO24122328&amp;position=10&amp;search_layout=stack&amp;type=pad&amp;tracking_id=7415b802-551f-4627-8fe6-d6c65a3e40c2&amp;is_advertising=true&amp;ad_domain=VQCATCORE_LST&amp;ad_position=10&amp;ad_click_id=ODk2ZGUwZDQtYTZlMS00YjZkLWJkNmUtYjc0N2NkYWY4OTdl"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32" t="s">
        <v>223</v>
      </c>
    </row>
    <row r="2" ht="27.75" customHeight="1">
      <c r="D2" s="33" t="s">
        <v>31</v>
      </c>
    </row>
    <row r="3" ht="12.75" customHeight="1"/>
    <row r="4" ht="12.75" customHeight="1"/>
    <row r="5" ht="43.5" customHeight="1">
      <c r="A5" s="112" t="s">
        <v>2</v>
      </c>
      <c r="B5" s="4"/>
      <c r="C5" s="4"/>
      <c r="D5" s="4"/>
      <c r="E5" s="4"/>
      <c r="F5" s="4"/>
      <c r="G5" s="4"/>
      <c r="H5" s="4"/>
      <c r="I5" s="4"/>
      <c r="J5" s="5"/>
    </row>
    <row r="6" ht="15.75" customHeight="1"/>
    <row r="7" ht="75.75" customHeight="1">
      <c r="A7" s="6" t="s">
        <v>3</v>
      </c>
      <c r="B7" s="55" t="s">
        <v>224</v>
      </c>
      <c r="C7" s="55" t="s">
        <v>225</v>
      </c>
      <c r="D7" s="55" t="s">
        <v>226</v>
      </c>
      <c r="E7" s="55" t="s">
        <v>227</v>
      </c>
      <c r="F7" s="56" t="s">
        <v>228</v>
      </c>
      <c r="G7" s="57" t="s">
        <v>229</v>
      </c>
      <c r="H7" s="55" t="s">
        <v>10</v>
      </c>
      <c r="I7" s="55" t="s">
        <v>230</v>
      </c>
      <c r="J7" s="55" t="s">
        <v>231</v>
      </c>
      <c r="K7" s="10"/>
      <c r="L7" s="10"/>
      <c r="M7" s="10"/>
      <c r="N7" s="10"/>
      <c r="O7" s="10"/>
      <c r="P7" s="10"/>
      <c r="Q7" s="10"/>
      <c r="R7" s="10"/>
      <c r="S7" s="10"/>
      <c r="T7" s="10"/>
      <c r="U7" s="10"/>
      <c r="V7" s="10"/>
      <c r="W7" s="10"/>
      <c r="X7" s="10"/>
      <c r="Y7" s="10"/>
      <c r="Z7" s="10"/>
    </row>
    <row r="8" ht="50.25" customHeight="1">
      <c r="A8" s="74" t="s">
        <v>13</v>
      </c>
      <c r="B8" s="113" t="s">
        <v>20</v>
      </c>
      <c r="C8" s="13" t="s">
        <v>232</v>
      </c>
      <c r="D8" s="114" t="s">
        <v>233</v>
      </c>
      <c r="E8" s="90">
        <v>399900.0</v>
      </c>
      <c r="F8" s="115">
        <f t="shared" ref="F8:F10" si="1">E8*0.16</f>
        <v>63984</v>
      </c>
      <c r="G8" s="116">
        <f t="shared" ref="G8:G10" si="2">(E8+F8)/3900</f>
        <v>118.9446154</v>
      </c>
      <c r="H8" s="117">
        <f t="shared" ref="H8:H10" si="3">G8*3900</f>
        <v>463884</v>
      </c>
      <c r="I8" s="118" t="s">
        <v>17</v>
      </c>
      <c r="J8" s="114" t="s">
        <v>234</v>
      </c>
    </row>
    <row r="9" ht="50.25" customHeight="1">
      <c r="A9" s="74" t="s">
        <v>19</v>
      </c>
      <c r="B9" s="113" t="s">
        <v>235</v>
      </c>
      <c r="C9" s="67" t="s">
        <v>236</v>
      </c>
      <c r="D9" s="114" t="s">
        <v>237</v>
      </c>
      <c r="E9" s="90">
        <v>334900.0</v>
      </c>
      <c r="F9" s="115">
        <f t="shared" si="1"/>
        <v>53584</v>
      </c>
      <c r="G9" s="116">
        <f t="shared" si="2"/>
        <v>99.61128205</v>
      </c>
      <c r="H9" s="117">
        <f t="shared" si="3"/>
        <v>388484</v>
      </c>
      <c r="I9" s="118" t="s">
        <v>17</v>
      </c>
      <c r="J9" s="114" t="s">
        <v>238</v>
      </c>
    </row>
    <row r="10" ht="50.25" customHeight="1">
      <c r="A10" s="74" t="s">
        <v>24</v>
      </c>
      <c r="B10" s="113" t="s">
        <v>239</v>
      </c>
      <c r="C10" s="13" t="s">
        <v>240</v>
      </c>
      <c r="D10" s="113" t="s">
        <v>241</v>
      </c>
      <c r="E10" s="90">
        <v>316776.0</v>
      </c>
      <c r="F10" s="115">
        <f t="shared" si="1"/>
        <v>50684.16</v>
      </c>
      <c r="G10" s="116">
        <f t="shared" si="2"/>
        <v>94.22055385</v>
      </c>
      <c r="H10" s="117">
        <f t="shared" si="3"/>
        <v>367460.16</v>
      </c>
      <c r="I10" s="118" t="s">
        <v>17</v>
      </c>
      <c r="J10" s="114" t="s">
        <v>242</v>
      </c>
    </row>
    <row r="11" ht="15.0" hidden="1" customHeight="1">
      <c r="A11" s="28"/>
      <c r="B11" s="82"/>
      <c r="C11" s="82"/>
      <c r="D11" s="82"/>
      <c r="E11" s="82"/>
      <c r="F11" s="82"/>
      <c r="G11" s="82"/>
      <c r="H11" s="82"/>
      <c r="I11" s="82"/>
      <c r="J11" s="82"/>
    </row>
    <row r="12" ht="12.75" customHeight="1"/>
    <row r="13" ht="138.75" customHeight="1">
      <c r="A13" s="30" t="s">
        <v>243</v>
      </c>
      <c r="B13" s="4"/>
      <c r="C13" s="4"/>
      <c r="D13" s="4"/>
      <c r="E13" s="4"/>
      <c r="F13" s="4"/>
      <c r="G13" s="4"/>
      <c r="H13" s="4"/>
      <c r="I13" s="4"/>
      <c r="J13" s="5"/>
    </row>
    <row r="14" ht="12.75" customHeight="1"/>
    <row r="15" ht="75.0" customHeight="1">
      <c r="A15" s="30" t="s">
        <v>244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7.88"/>
    <col customWidth="1" min="8" max="8" width="17.0"/>
    <col customWidth="1" min="9" max="10" width="19.13"/>
    <col customWidth="1" min="11" max="26" width="10.0"/>
  </cols>
  <sheetData>
    <row r="1" ht="12.75" customHeight="1"/>
    <row r="2" ht="27.75" customHeight="1">
      <c r="D2" s="33" t="s">
        <v>31</v>
      </c>
    </row>
    <row r="3" ht="12.75" customHeight="1"/>
    <row r="4" ht="12.75" customHeight="1"/>
    <row r="5" ht="43.5" customHeight="1">
      <c r="A5" s="73" t="s">
        <v>2</v>
      </c>
      <c r="B5" s="4"/>
      <c r="C5" s="4"/>
      <c r="D5" s="4"/>
      <c r="E5" s="4"/>
      <c r="F5" s="4"/>
      <c r="G5" s="4"/>
      <c r="H5" s="4"/>
      <c r="I5" s="4"/>
      <c r="J5" s="5"/>
    </row>
    <row r="6" ht="15.75" customHeight="1"/>
    <row r="7" ht="75.75" customHeight="1">
      <c r="A7" s="6" t="s">
        <v>3</v>
      </c>
      <c r="B7" s="55" t="s">
        <v>245</v>
      </c>
      <c r="C7" s="55" t="s">
        <v>246</v>
      </c>
      <c r="D7" s="55" t="s">
        <v>247</v>
      </c>
      <c r="E7" s="55" t="s">
        <v>248</v>
      </c>
      <c r="F7" s="56" t="s">
        <v>249</v>
      </c>
      <c r="G7" s="57" t="s">
        <v>250</v>
      </c>
      <c r="H7" s="55" t="s">
        <v>10</v>
      </c>
      <c r="I7" s="55" t="s">
        <v>251</v>
      </c>
      <c r="J7" s="55" t="s">
        <v>252</v>
      </c>
      <c r="K7" s="10"/>
      <c r="L7" s="10"/>
      <c r="M7" s="10"/>
      <c r="N7" s="10"/>
      <c r="O7" s="10"/>
      <c r="P7" s="10"/>
      <c r="Q7" s="10"/>
      <c r="R7" s="10"/>
      <c r="S7" s="10"/>
      <c r="T7" s="10"/>
      <c r="U7" s="10"/>
      <c r="V7" s="10"/>
      <c r="W7" s="10"/>
      <c r="X7" s="10"/>
      <c r="Y7" s="10"/>
      <c r="Z7" s="10"/>
    </row>
    <row r="8" ht="50.25" customHeight="1">
      <c r="A8" s="74" t="s">
        <v>13</v>
      </c>
      <c r="B8" s="113" t="s">
        <v>253</v>
      </c>
      <c r="C8" s="13" t="s">
        <v>254</v>
      </c>
      <c r="D8" s="114" t="s">
        <v>255</v>
      </c>
      <c r="E8" s="90">
        <v>4235000.0</v>
      </c>
      <c r="F8" s="115">
        <f t="shared" ref="F8:F10" si="1">E8*0.16</f>
        <v>677600</v>
      </c>
      <c r="G8" s="119">
        <f t="shared" ref="G8:G10" si="2">(F8+E8)/3900</f>
        <v>1259.641026</v>
      </c>
      <c r="H8" s="120">
        <f t="shared" ref="H8:H10" si="3">G8*3900</f>
        <v>4912600</v>
      </c>
      <c r="I8" s="118" t="s">
        <v>66</v>
      </c>
      <c r="J8" s="114" t="s">
        <v>256</v>
      </c>
    </row>
    <row r="9" ht="50.25" customHeight="1">
      <c r="A9" s="74" t="s">
        <v>19</v>
      </c>
      <c r="B9" s="113" t="s">
        <v>257</v>
      </c>
      <c r="C9" s="13" t="s">
        <v>258</v>
      </c>
      <c r="D9" s="114" t="s">
        <v>259</v>
      </c>
      <c r="E9" s="90">
        <v>1888000.0</v>
      </c>
      <c r="F9" s="115">
        <f t="shared" si="1"/>
        <v>302080</v>
      </c>
      <c r="G9" s="119">
        <f t="shared" si="2"/>
        <v>561.5589744</v>
      </c>
      <c r="H9" s="120">
        <f t="shared" si="3"/>
        <v>2190080</v>
      </c>
      <c r="I9" s="118" t="s">
        <v>66</v>
      </c>
      <c r="J9" s="114" t="s">
        <v>260</v>
      </c>
    </row>
    <row r="10" ht="50.25" customHeight="1">
      <c r="A10" s="74" t="s">
        <v>24</v>
      </c>
      <c r="B10" s="118" t="s">
        <v>14</v>
      </c>
      <c r="C10" s="13" t="s">
        <v>261</v>
      </c>
      <c r="D10" s="114" t="s">
        <v>262</v>
      </c>
      <c r="E10" s="90">
        <v>6900000.0</v>
      </c>
      <c r="F10" s="115">
        <f t="shared" si="1"/>
        <v>1104000</v>
      </c>
      <c r="G10" s="119">
        <f t="shared" si="2"/>
        <v>2052.307692</v>
      </c>
      <c r="H10" s="120">
        <f t="shared" si="3"/>
        <v>8004000</v>
      </c>
      <c r="I10" s="118" t="s">
        <v>66</v>
      </c>
      <c r="J10" s="114" t="s">
        <v>263</v>
      </c>
    </row>
    <row r="11" ht="15.0" hidden="1" customHeight="1">
      <c r="A11" s="28"/>
      <c r="B11" s="82"/>
      <c r="C11" s="82"/>
      <c r="D11" s="82"/>
      <c r="E11" s="82"/>
      <c r="F11" s="82"/>
      <c r="G11" s="82"/>
      <c r="H11" s="82"/>
      <c r="I11" s="82"/>
      <c r="J11" s="82"/>
    </row>
    <row r="12" ht="12.75" customHeight="1"/>
    <row r="13" ht="138.75" customHeight="1">
      <c r="A13" s="30" t="s">
        <v>264</v>
      </c>
      <c r="B13" s="4"/>
      <c r="C13" s="4"/>
      <c r="D13" s="4"/>
      <c r="E13" s="4"/>
      <c r="F13" s="4"/>
      <c r="G13" s="4"/>
      <c r="H13" s="4"/>
      <c r="I13" s="4"/>
      <c r="J13" s="5"/>
    </row>
    <row r="14" ht="12.75" customHeight="1"/>
    <row r="15" ht="75.0" customHeight="1">
      <c r="A15" s="30" t="s">
        <v>265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33" t="s">
        <v>31</v>
      </c>
    </row>
    <row r="3" ht="12.75" customHeight="1"/>
    <row r="4" ht="12.75" customHeight="1"/>
    <row r="5" ht="43.5" customHeight="1">
      <c r="A5" s="3" t="s">
        <v>2</v>
      </c>
      <c r="B5" s="4"/>
      <c r="C5" s="4"/>
      <c r="D5" s="4"/>
      <c r="E5" s="4"/>
      <c r="F5" s="4"/>
      <c r="G5" s="4"/>
      <c r="H5" s="4"/>
      <c r="I5" s="4"/>
      <c r="J5" s="5"/>
    </row>
    <row r="6" ht="15.75" customHeight="1"/>
    <row r="7" ht="75.75" customHeight="1">
      <c r="A7" s="6" t="s">
        <v>3</v>
      </c>
      <c r="B7" s="55" t="s">
        <v>266</v>
      </c>
      <c r="C7" s="55" t="s">
        <v>267</v>
      </c>
      <c r="D7" s="55" t="s">
        <v>268</v>
      </c>
      <c r="E7" s="55" t="s">
        <v>269</v>
      </c>
      <c r="F7" s="56" t="s">
        <v>270</v>
      </c>
      <c r="G7" s="57" t="s">
        <v>271</v>
      </c>
      <c r="H7" s="55" t="s">
        <v>10</v>
      </c>
      <c r="I7" s="55" t="s">
        <v>272</v>
      </c>
      <c r="J7" s="55" t="s">
        <v>273</v>
      </c>
      <c r="K7" s="10"/>
      <c r="L7" s="10"/>
      <c r="M7" s="10"/>
      <c r="N7" s="10"/>
      <c r="O7" s="10"/>
      <c r="P7" s="10"/>
      <c r="Q7" s="10"/>
      <c r="R7" s="10"/>
      <c r="S7" s="10"/>
      <c r="T7" s="10"/>
      <c r="U7" s="10"/>
      <c r="V7" s="10"/>
      <c r="W7" s="10"/>
      <c r="X7" s="10"/>
      <c r="Y7" s="10"/>
      <c r="Z7" s="10"/>
    </row>
    <row r="8" ht="50.25" customHeight="1">
      <c r="A8" s="74" t="s">
        <v>13</v>
      </c>
      <c r="B8" s="113" t="s">
        <v>274</v>
      </c>
      <c r="C8" s="13" t="s">
        <v>275</v>
      </c>
      <c r="D8" s="114" t="s">
        <v>276</v>
      </c>
      <c r="E8" s="90">
        <v>320000.0</v>
      </c>
      <c r="F8" s="115">
        <f t="shared" ref="F8:F10" si="1">E8*0.16</f>
        <v>51200</v>
      </c>
      <c r="G8" s="115">
        <f t="shared" ref="G8:G10" si="2">(F8+E8)/3900</f>
        <v>95.17948718</v>
      </c>
      <c r="H8" s="121">
        <f t="shared" ref="H8:H10" si="3">G8*3900</f>
        <v>371200</v>
      </c>
      <c r="I8" s="118" t="s">
        <v>17</v>
      </c>
      <c r="J8" s="114" t="s">
        <v>277</v>
      </c>
    </row>
    <row r="9" ht="50.25" customHeight="1">
      <c r="A9" s="74" t="s">
        <v>19</v>
      </c>
      <c r="B9" s="113" t="s">
        <v>68</v>
      </c>
      <c r="C9" s="13" t="s">
        <v>278</v>
      </c>
      <c r="D9" s="114" t="s">
        <v>279</v>
      </c>
      <c r="E9" s="90">
        <v>104150.0</v>
      </c>
      <c r="F9" s="115">
        <f t="shared" si="1"/>
        <v>16664</v>
      </c>
      <c r="G9" s="115">
        <f t="shared" si="2"/>
        <v>30.97794872</v>
      </c>
      <c r="H9" s="121">
        <f t="shared" si="3"/>
        <v>120814</v>
      </c>
      <c r="I9" s="118" t="s">
        <v>17</v>
      </c>
      <c r="J9" s="114" t="s">
        <v>280</v>
      </c>
    </row>
    <row r="10" ht="50.25" customHeight="1">
      <c r="A10" s="74" t="s">
        <v>24</v>
      </c>
      <c r="B10" s="113" t="s">
        <v>86</v>
      </c>
      <c r="C10" s="13" t="s">
        <v>281</v>
      </c>
      <c r="D10" s="114" t="s">
        <v>282</v>
      </c>
      <c r="E10" s="90">
        <v>118000.0</v>
      </c>
      <c r="F10" s="115">
        <f t="shared" si="1"/>
        <v>18880</v>
      </c>
      <c r="G10" s="115">
        <f t="shared" si="2"/>
        <v>35.0974359</v>
      </c>
      <c r="H10" s="121">
        <f t="shared" si="3"/>
        <v>136880</v>
      </c>
      <c r="I10" s="118" t="s">
        <v>17</v>
      </c>
      <c r="J10" s="114" t="s">
        <v>283</v>
      </c>
    </row>
    <row r="11" ht="15.0" hidden="1" customHeight="1">
      <c r="A11" s="28"/>
      <c r="B11" s="82"/>
      <c r="C11" s="82"/>
      <c r="D11" s="82"/>
      <c r="E11" s="82"/>
      <c r="F11" s="82"/>
      <c r="G11" s="82"/>
      <c r="H11" s="82"/>
      <c r="I11" s="82"/>
      <c r="J11" s="82"/>
    </row>
    <row r="12" ht="12.75" customHeight="1"/>
    <row r="13" ht="138.75" customHeight="1">
      <c r="A13" s="30" t="s">
        <v>284</v>
      </c>
      <c r="B13" s="4"/>
      <c r="C13" s="4"/>
      <c r="D13" s="4"/>
      <c r="E13" s="4"/>
      <c r="F13" s="4"/>
      <c r="G13" s="4"/>
      <c r="H13" s="4"/>
      <c r="I13" s="4"/>
      <c r="J13" s="5"/>
    </row>
    <row r="14" ht="12.75" customHeight="1"/>
    <row r="15" ht="75.0" customHeight="1">
      <c r="A15" s="30" t="s">
        <v>285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is_advertising=true&amp;searchVariation=MCO14924731&amp;position=1&amp;search_layout=stack&amp;type=pad&amp;tracking_id=9217704f-2715-469b-afb8-bab5f98c6e2a&amp;is_advertising=true&amp;ad_domain=VQCATCORE_LST&amp;ad_position=1&amp;ad_click_id=ZTY3NGNiNWItYTg0My00YzlmLWFkZGYtYjA0YWZkODA0OGFk" ref="C8"/>
    <hyperlink r:id="rId2"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33" t="s">
        <v>31</v>
      </c>
    </row>
    <row r="3" ht="12.75" customHeight="1"/>
    <row r="4" ht="12.75" customHeight="1"/>
    <row r="5" ht="43.5" customHeight="1">
      <c r="A5" s="34" t="s">
        <v>2</v>
      </c>
      <c r="B5" s="4"/>
      <c r="C5" s="4"/>
      <c r="D5" s="4"/>
      <c r="E5" s="4"/>
      <c r="F5" s="4"/>
      <c r="G5" s="4"/>
      <c r="H5" s="4"/>
      <c r="I5" s="4"/>
      <c r="J5" s="5"/>
    </row>
    <row r="6" ht="15.75" customHeight="1"/>
    <row r="7" ht="75.75" customHeight="1">
      <c r="A7" s="6" t="s">
        <v>3</v>
      </c>
      <c r="B7" s="55" t="s">
        <v>286</v>
      </c>
      <c r="C7" s="55" t="s">
        <v>287</v>
      </c>
      <c r="D7" s="55" t="s">
        <v>288</v>
      </c>
      <c r="E7" s="55" t="s">
        <v>289</v>
      </c>
      <c r="F7" s="56" t="s">
        <v>290</v>
      </c>
      <c r="G7" s="57" t="s">
        <v>291</v>
      </c>
      <c r="H7" s="55" t="s">
        <v>10</v>
      </c>
      <c r="I7" s="55" t="s">
        <v>292</v>
      </c>
      <c r="J7" s="55" t="s">
        <v>293</v>
      </c>
      <c r="K7" s="10"/>
      <c r="L7" s="10"/>
      <c r="M7" s="10"/>
      <c r="N7" s="10"/>
      <c r="O7" s="10"/>
      <c r="P7" s="10"/>
      <c r="Q7" s="10"/>
      <c r="R7" s="10"/>
      <c r="S7" s="10"/>
      <c r="T7" s="10"/>
      <c r="U7" s="10"/>
      <c r="V7" s="10"/>
      <c r="W7" s="10"/>
      <c r="X7" s="10"/>
      <c r="Y7" s="10"/>
      <c r="Z7" s="10"/>
    </row>
    <row r="8" ht="50.25" customHeight="1">
      <c r="A8" s="74" t="s">
        <v>13</v>
      </c>
      <c r="B8" s="118" t="s">
        <v>14</v>
      </c>
      <c r="C8" s="122" t="s">
        <v>294</v>
      </c>
      <c r="D8" s="123" t="s">
        <v>295</v>
      </c>
      <c r="E8" s="115">
        <v>190000.0</v>
      </c>
      <c r="F8" s="115">
        <f t="shared" ref="F8:F10" si="1">E8*1.19</f>
        <v>226100</v>
      </c>
      <c r="G8" s="42">
        <f t="shared" ref="G8:G10" si="2">(F8+E8)/3900</f>
        <v>106.6923077</v>
      </c>
      <c r="H8" s="120">
        <f t="shared" ref="H8:H10" si="3">G8*3900</f>
        <v>416100</v>
      </c>
      <c r="I8" s="118" t="s">
        <v>66</v>
      </c>
      <c r="J8" s="123" t="s">
        <v>296</v>
      </c>
    </row>
    <row r="9" ht="50.25" customHeight="1">
      <c r="A9" s="74" t="s">
        <v>19</v>
      </c>
      <c r="B9" s="118" t="s">
        <v>297</v>
      </c>
      <c r="C9" s="122" t="s">
        <v>298</v>
      </c>
      <c r="D9" s="123" t="s">
        <v>299</v>
      </c>
      <c r="E9" s="124">
        <v>705000.0</v>
      </c>
      <c r="F9" s="115">
        <f t="shared" si="1"/>
        <v>838950</v>
      </c>
      <c r="G9" s="42">
        <f t="shared" si="2"/>
        <v>395.8846154</v>
      </c>
      <c r="H9" s="120">
        <f t="shared" si="3"/>
        <v>1543950</v>
      </c>
      <c r="I9" s="118" t="s">
        <v>66</v>
      </c>
      <c r="J9" s="123" t="s">
        <v>300</v>
      </c>
    </row>
    <row r="10" ht="50.25" customHeight="1">
      <c r="A10" s="74" t="s">
        <v>24</v>
      </c>
      <c r="B10" s="118" t="s">
        <v>301</v>
      </c>
      <c r="C10" s="122" t="s">
        <v>302</v>
      </c>
      <c r="D10" s="123" t="s">
        <v>303</v>
      </c>
      <c r="E10" s="115">
        <v>430000.0</v>
      </c>
      <c r="F10" s="115">
        <f t="shared" si="1"/>
        <v>511700</v>
      </c>
      <c r="G10" s="42">
        <f t="shared" si="2"/>
        <v>241.4615385</v>
      </c>
      <c r="H10" s="120">
        <f t="shared" si="3"/>
        <v>941700</v>
      </c>
      <c r="I10" s="118" t="s">
        <v>66</v>
      </c>
      <c r="J10" s="123" t="s">
        <v>304</v>
      </c>
    </row>
    <row r="11" ht="15.0" hidden="1" customHeight="1">
      <c r="A11" s="28"/>
      <c r="B11" s="82"/>
      <c r="C11" s="82"/>
      <c r="D11" s="82"/>
      <c r="E11" s="82"/>
      <c r="F11" s="82"/>
      <c r="G11" s="82"/>
      <c r="H11" s="82"/>
      <c r="I11" s="82"/>
      <c r="J11" s="82"/>
    </row>
    <row r="12" ht="12.75" customHeight="1"/>
    <row r="13" ht="138.75" customHeight="1">
      <c r="A13" s="30" t="s">
        <v>305</v>
      </c>
      <c r="B13" s="4"/>
      <c r="C13" s="4"/>
      <c r="D13" s="4"/>
      <c r="E13" s="4"/>
      <c r="F13" s="4"/>
      <c r="G13" s="4"/>
      <c r="H13" s="4"/>
      <c r="I13" s="4"/>
      <c r="J13" s="5"/>
    </row>
    <row r="14" ht="12.75" customHeight="1"/>
    <row r="15" ht="75.0" customHeight="1">
      <c r="A15" s="30" t="s">
        <v>306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is_advertising=true&amp;searchVariation=MCO36538858&amp;position=2&amp;search_layout=stack&amp;type=pad&amp;tracking_id=9a9fe571-d45a-45cd-bdf6-b4a7012b264a&amp;is_advertising=true&amp;ad_domain=VQCATCORE_LST&amp;ad_position=2&amp;ad_click_id=ODFlYTdmN2EtZGVhMS00ZTkyLWE1NzctZjU0MjNlODc2M2E0" ref="C8"/>
    <hyperlink r:id="rId2"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25"/>
    </row>
    <row r="2" ht="27.75" customHeight="1">
      <c r="D2" s="33" t="s">
        <v>31</v>
      </c>
    </row>
    <row r="3" ht="12.75" customHeight="1"/>
    <row r="4" ht="12.75" customHeight="1"/>
    <row r="5" ht="43.5" customHeight="1">
      <c r="A5" s="112" t="s">
        <v>2</v>
      </c>
      <c r="B5" s="4"/>
      <c r="C5" s="4"/>
      <c r="D5" s="4"/>
      <c r="E5" s="4"/>
      <c r="F5" s="4"/>
      <c r="G5" s="4"/>
      <c r="H5" s="4"/>
      <c r="I5" s="4"/>
      <c r="J5" s="5"/>
    </row>
    <row r="6" ht="15.75" customHeight="1"/>
    <row r="7" ht="75.75" customHeight="1">
      <c r="A7" s="6" t="s">
        <v>3</v>
      </c>
      <c r="B7" s="55" t="s">
        <v>307</v>
      </c>
      <c r="C7" s="55" t="s">
        <v>308</v>
      </c>
      <c r="D7" s="55" t="s">
        <v>309</v>
      </c>
      <c r="E7" s="55" t="s">
        <v>310</v>
      </c>
      <c r="F7" s="56" t="s">
        <v>311</v>
      </c>
      <c r="G7" s="57" t="s">
        <v>312</v>
      </c>
      <c r="H7" s="55" t="s">
        <v>10</v>
      </c>
      <c r="I7" s="55" t="s">
        <v>313</v>
      </c>
      <c r="J7" s="55" t="s">
        <v>314</v>
      </c>
      <c r="K7" s="10"/>
      <c r="L7" s="10"/>
      <c r="M7" s="10"/>
      <c r="N7" s="10"/>
      <c r="O7" s="10"/>
      <c r="P7" s="10"/>
      <c r="Q7" s="10"/>
      <c r="R7" s="10"/>
      <c r="S7" s="10"/>
      <c r="T7" s="10"/>
      <c r="U7" s="10"/>
      <c r="V7" s="10"/>
      <c r="W7" s="10"/>
      <c r="X7" s="10"/>
      <c r="Y7" s="10"/>
      <c r="Z7" s="10"/>
    </row>
    <row r="8" ht="50.25" customHeight="1">
      <c r="A8" s="74" t="s">
        <v>13</v>
      </c>
      <c r="B8" s="113" t="s">
        <v>315</v>
      </c>
      <c r="C8" s="13" t="s">
        <v>316</v>
      </c>
      <c r="D8" s="114" t="s">
        <v>317</v>
      </c>
      <c r="E8" s="126">
        <v>610000.0</v>
      </c>
      <c r="F8" s="115">
        <f t="shared" ref="F8:F10" si="1">E8*0.16</f>
        <v>97600</v>
      </c>
      <c r="G8" s="42">
        <f t="shared" ref="G8:G10" si="2">(F8+E8)/3900</f>
        <v>181.4358974</v>
      </c>
      <c r="H8" s="120">
        <f t="shared" ref="H8:H10" si="3">G8*3900</f>
        <v>707600</v>
      </c>
      <c r="I8" s="118" t="s">
        <v>66</v>
      </c>
      <c r="J8" s="127" t="s">
        <v>318</v>
      </c>
    </row>
    <row r="9" ht="50.25" customHeight="1">
      <c r="A9" s="74" t="s">
        <v>19</v>
      </c>
      <c r="B9" s="113" t="s">
        <v>319</v>
      </c>
      <c r="C9" s="13" t="s">
        <v>320</v>
      </c>
      <c r="D9" s="114" t="s">
        <v>321</v>
      </c>
      <c r="E9" s="126">
        <v>1530000.0</v>
      </c>
      <c r="F9" s="115">
        <f t="shared" si="1"/>
        <v>244800</v>
      </c>
      <c r="G9" s="42">
        <f t="shared" si="2"/>
        <v>455.0769231</v>
      </c>
      <c r="H9" s="120">
        <f t="shared" si="3"/>
        <v>1774800</v>
      </c>
      <c r="I9" s="118" t="s">
        <v>66</v>
      </c>
      <c r="J9" s="127" t="s">
        <v>322</v>
      </c>
    </row>
    <row r="10" ht="50.25" customHeight="1">
      <c r="A10" s="74" t="s">
        <v>24</v>
      </c>
      <c r="B10" s="118" t="s">
        <v>14</v>
      </c>
      <c r="C10" s="13" t="s">
        <v>323</v>
      </c>
      <c r="D10" s="114" t="s">
        <v>324</v>
      </c>
      <c r="E10" s="126">
        <v>1357993.0</v>
      </c>
      <c r="F10" s="115">
        <f t="shared" si="1"/>
        <v>217278.88</v>
      </c>
      <c r="G10" s="42">
        <f t="shared" si="2"/>
        <v>403.9158667</v>
      </c>
      <c r="H10" s="120">
        <f t="shared" si="3"/>
        <v>1575271.88</v>
      </c>
      <c r="I10" s="118" t="s">
        <v>66</v>
      </c>
      <c r="J10" s="127" t="s">
        <v>325</v>
      </c>
    </row>
    <row r="11" ht="15.0" hidden="1" customHeight="1">
      <c r="A11" s="28"/>
      <c r="B11" s="82"/>
      <c r="C11" s="82"/>
      <c r="D11" s="82"/>
      <c r="E11" s="82"/>
      <c r="F11" s="82"/>
      <c r="G11" s="82"/>
      <c r="H11" s="82"/>
      <c r="I11" s="82"/>
      <c r="J11" s="82"/>
    </row>
    <row r="12" ht="12.75" customHeight="1"/>
    <row r="13" ht="138.75" customHeight="1">
      <c r="A13" s="30" t="s">
        <v>326</v>
      </c>
      <c r="B13" s="4"/>
      <c r="C13" s="4"/>
      <c r="D13" s="4"/>
      <c r="E13" s="4"/>
      <c r="F13" s="4"/>
      <c r="G13" s="4"/>
      <c r="H13" s="4"/>
      <c r="I13" s="4"/>
      <c r="J13" s="5"/>
    </row>
    <row r="14" ht="12.75" customHeight="1"/>
    <row r="15" ht="75.0" customHeight="1">
      <c r="A15" s="30" t="s">
        <v>327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polycard_client=recommendations_pdp-pads-up&amp;reco_backend=recomm_platform_base_merge_pads_rfa&amp;reco_model=search_recos_backend_merge&amp;reco_client=pdp-pads-up&amp;reco_item_pos=1&amp;reco_backend_type=low_level&amp;reco_id=db97ec5f-d5ea-44cd-88a1-56b82c8e6eaa&amp;wid=MCO1626711841&amp;sid=recos&amp;is_advertising=true&amp;ad_domain=PDPDESKTOP_UP&amp;ad_position=2&amp;ad_click_id=MzNlOWJlMWItNDU0My00NzhhLWE5OWYtMGEzZjNmNDQ4ZmE3"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33" t="s">
        <v>31</v>
      </c>
    </row>
    <row r="3" ht="12.75" customHeight="1"/>
    <row r="4" ht="12.75" customHeight="1"/>
    <row r="5" ht="43.5" customHeight="1">
      <c r="A5" s="73">
        <v>0.0</v>
      </c>
      <c r="B5" s="4"/>
      <c r="C5" s="4"/>
      <c r="D5" s="4"/>
      <c r="E5" s="4"/>
      <c r="F5" s="4"/>
      <c r="G5" s="4"/>
      <c r="H5" s="4"/>
      <c r="I5" s="4"/>
      <c r="J5" s="5"/>
    </row>
    <row r="6" ht="15.75" customHeight="1"/>
    <row r="7" ht="75.75" customHeight="1">
      <c r="A7" s="6" t="s">
        <v>3</v>
      </c>
      <c r="B7" s="55" t="s">
        <v>328</v>
      </c>
      <c r="C7" s="55" t="s">
        <v>329</v>
      </c>
      <c r="D7" s="55" t="s">
        <v>330</v>
      </c>
      <c r="E7" s="55" t="s">
        <v>331</v>
      </c>
      <c r="F7" s="56" t="s">
        <v>332</v>
      </c>
      <c r="G7" s="57" t="s">
        <v>333</v>
      </c>
      <c r="H7" s="55" t="s">
        <v>10</v>
      </c>
      <c r="I7" s="55" t="s">
        <v>334</v>
      </c>
      <c r="J7" s="55" t="s">
        <v>335</v>
      </c>
      <c r="K7" s="10"/>
      <c r="L7" s="10"/>
      <c r="M7" s="10"/>
      <c r="N7" s="10"/>
      <c r="O7" s="10"/>
      <c r="P7" s="10"/>
      <c r="Q7" s="10"/>
      <c r="R7" s="10"/>
      <c r="S7" s="10"/>
      <c r="T7" s="10"/>
      <c r="U7" s="10"/>
      <c r="V7" s="10"/>
      <c r="W7" s="10"/>
      <c r="X7" s="10"/>
      <c r="Y7" s="10"/>
      <c r="Z7" s="10"/>
    </row>
    <row r="8" ht="50.25" customHeight="1">
      <c r="A8" s="74" t="s">
        <v>13</v>
      </c>
      <c r="B8" s="113" t="s">
        <v>93</v>
      </c>
      <c r="C8" s="13" t="s">
        <v>336</v>
      </c>
      <c r="D8" s="114" t="s">
        <v>135</v>
      </c>
      <c r="E8" s="90">
        <v>189000.0</v>
      </c>
      <c r="F8" s="115">
        <f t="shared" ref="F8:F10" si="1">E8*0.16</f>
        <v>30240</v>
      </c>
      <c r="G8" s="42">
        <f t="shared" ref="G8:G10" si="2">(F8+E8)/3900</f>
        <v>56.21538462</v>
      </c>
      <c r="H8" s="120">
        <f t="shared" ref="H8:H10" si="3">G8*3900</f>
        <v>219240</v>
      </c>
      <c r="I8" s="118" t="s">
        <v>17</v>
      </c>
      <c r="J8" s="114" t="s">
        <v>337</v>
      </c>
    </row>
    <row r="9" ht="50.25" customHeight="1">
      <c r="A9" s="74" t="s">
        <v>19</v>
      </c>
      <c r="B9" s="118" t="s">
        <v>14</v>
      </c>
      <c r="C9" s="13" t="s">
        <v>338</v>
      </c>
      <c r="D9" s="114" t="s">
        <v>339</v>
      </c>
      <c r="E9" s="90">
        <v>208700.0</v>
      </c>
      <c r="F9" s="115">
        <f t="shared" si="1"/>
        <v>33392</v>
      </c>
      <c r="G9" s="42">
        <f t="shared" si="2"/>
        <v>62.07487179</v>
      </c>
      <c r="H9" s="120">
        <f t="shared" si="3"/>
        <v>242092</v>
      </c>
      <c r="I9" s="118" t="s">
        <v>17</v>
      </c>
      <c r="J9" s="114" t="s">
        <v>340</v>
      </c>
    </row>
    <row r="10" ht="50.25" customHeight="1">
      <c r="A10" s="74" t="s">
        <v>24</v>
      </c>
      <c r="B10" s="113" t="s">
        <v>14</v>
      </c>
      <c r="C10" s="13" t="s">
        <v>341</v>
      </c>
      <c r="D10" s="114" t="s">
        <v>342</v>
      </c>
      <c r="E10" s="90">
        <v>75200.0</v>
      </c>
      <c r="F10" s="115">
        <f t="shared" si="1"/>
        <v>12032</v>
      </c>
      <c r="G10" s="42">
        <f t="shared" si="2"/>
        <v>22.36717949</v>
      </c>
      <c r="H10" s="120">
        <f t="shared" si="3"/>
        <v>87232</v>
      </c>
      <c r="I10" s="118" t="s">
        <v>17</v>
      </c>
      <c r="J10" s="113" t="s">
        <v>343</v>
      </c>
    </row>
    <row r="11" ht="15.0" hidden="1" customHeight="1">
      <c r="A11" s="28"/>
      <c r="B11" s="82"/>
      <c r="C11" s="82"/>
      <c r="D11" s="82"/>
      <c r="E11" s="82"/>
      <c r="F11" s="82"/>
      <c r="G11" s="82"/>
      <c r="H11" s="82"/>
      <c r="I11" s="82"/>
      <c r="J11" s="82"/>
    </row>
    <row r="12" ht="12.75" customHeight="1"/>
    <row r="13" ht="138.75" customHeight="1">
      <c r="A13" s="30" t="s">
        <v>344</v>
      </c>
      <c r="B13" s="4"/>
      <c r="C13" s="4"/>
      <c r="D13" s="4"/>
      <c r="E13" s="4"/>
      <c r="F13" s="4"/>
      <c r="G13" s="4"/>
      <c r="H13" s="4"/>
      <c r="I13" s="4"/>
      <c r="J13" s="5"/>
    </row>
    <row r="14" ht="12.75" customHeight="1"/>
    <row r="15" ht="75.0" customHeight="1">
      <c r="A15" s="30" t="s">
        <v>345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32" t="s">
        <v>346</v>
      </c>
    </row>
    <row r="2" ht="27.75" customHeight="1">
      <c r="D2" s="33" t="s">
        <v>31</v>
      </c>
    </row>
    <row r="3" ht="12.75" customHeight="1"/>
    <row r="4" ht="12.75" customHeight="1"/>
    <row r="5" ht="43.5" customHeight="1">
      <c r="A5" s="3" t="s">
        <v>2</v>
      </c>
      <c r="B5" s="4"/>
      <c r="C5" s="4"/>
      <c r="D5" s="4"/>
      <c r="E5" s="4"/>
      <c r="F5" s="4"/>
      <c r="G5" s="4"/>
      <c r="H5" s="4"/>
      <c r="I5" s="4"/>
      <c r="J5" s="5"/>
    </row>
    <row r="6" ht="15.75" customHeight="1"/>
    <row r="7" ht="75.75" customHeight="1">
      <c r="A7" s="6" t="s">
        <v>3</v>
      </c>
      <c r="B7" s="55" t="s">
        <v>347</v>
      </c>
      <c r="C7" s="55" t="s">
        <v>348</v>
      </c>
      <c r="D7" s="55" t="s">
        <v>349</v>
      </c>
      <c r="E7" s="55" t="s">
        <v>350</v>
      </c>
      <c r="F7" s="56" t="s">
        <v>351</v>
      </c>
      <c r="G7" s="57" t="s">
        <v>352</v>
      </c>
      <c r="H7" s="55" t="s">
        <v>10</v>
      </c>
      <c r="I7" s="55" t="s">
        <v>353</v>
      </c>
      <c r="J7" s="55" t="s">
        <v>354</v>
      </c>
      <c r="K7" s="10"/>
      <c r="L7" s="10"/>
      <c r="M7" s="10"/>
      <c r="N7" s="10"/>
      <c r="O7" s="10"/>
      <c r="P7" s="10"/>
      <c r="Q7" s="10"/>
      <c r="R7" s="10"/>
      <c r="S7" s="10"/>
      <c r="T7" s="10"/>
      <c r="U7" s="10"/>
      <c r="V7" s="10"/>
      <c r="W7" s="10"/>
      <c r="X7" s="10"/>
      <c r="Y7" s="10"/>
      <c r="Z7" s="10"/>
    </row>
    <row r="8" ht="50.25" customHeight="1">
      <c r="A8" s="74" t="s">
        <v>13</v>
      </c>
      <c r="B8" s="113" t="s">
        <v>68</v>
      </c>
      <c r="C8" s="13" t="s">
        <v>355</v>
      </c>
      <c r="D8" s="114" t="s">
        <v>356</v>
      </c>
      <c r="E8" s="90">
        <v>15000.0</v>
      </c>
      <c r="F8" s="115">
        <f t="shared" ref="F8:F10" si="1">E8*0.16</f>
        <v>2400</v>
      </c>
      <c r="G8" s="115">
        <f t="shared" ref="G8:G10" si="2">(F8+E8)/3900</f>
        <v>4.461538462</v>
      </c>
      <c r="H8" s="115">
        <f t="shared" ref="H8:H10" si="3">G8*3900</f>
        <v>17400</v>
      </c>
      <c r="I8" s="118" t="s">
        <v>17</v>
      </c>
      <c r="J8" s="114" t="s">
        <v>357</v>
      </c>
    </row>
    <row r="9" ht="68.25" customHeight="1">
      <c r="A9" s="74" t="s">
        <v>19</v>
      </c>
      <c r="B9" s="113" t="s">
        <v>178</v>
      </c>
      <c r="C9" s="13" t="s">
        <v>358</v>
      </c>
      <c r="D9" s="114" t="s">
        <v>359</v>
      </c>
      <c r="E9" s="128">
        <v>21900.0</v>
      </c>
      <c r="F9" s="115">
        <f t="shared" si="1"/>
        <v>3504</v>
      </c>
      <c r="G9" s="115">
        <f t="shared" si="2"/>
        <v>6.513846154</v>
      </c>
      <c r="H9" s="115">
        <f t="shared" si="3"/>
        <v>25404</v>
      </c>
      <c r="I9" s="118" t="s">
        <v>17</v>
      </c>
      <c r="J9" s="114" t="s">
        <v>360</v>
      </c>
    </row>
    <row r="10" ht="50.25" customHeight="1">
      <c r="A10" s="74" t="s">
        <v>24</v>
      </c>
      <c r="B10" s="113" t="s">
        <v>361</v>
      </c>
      <c r="C10" s="13" t="s">
        <v>362</v>
      </c>
      <c r="D10" s="129" t="s">
        <v>363</v>
      </c>
      <c r="E10" s="90">
        <v>59900.0</v>
      </c>
      <c r="F10" s="115">
        <f t="shared" si="1"/>
        <v>9584</v>
      </c>
      <c r="G10" s="115">
        <f t="shared" si="2"/>
        <v>17.81641026</v>
      </c>
      <c r="H10" s="115">
        <f t="shared" si="3"/>
        <v>69484</v>
      </c>
      <c r="I10" s="118" t="s">
        <v>17</v>
      </c>
      <c r="J10" s="130" t="s">
        <v>364</v>
      </c>
    </row>
    <row r="11" ht="15.0" hidden="1" customHeight="1">
      <c r="A11" s="28"/>
      <c r="B11" s="82"/>
      <c r="C11" s="82"/>
      <c r="D11" s="82"/>
      <c r="E11" s="82"/>
      <c r="F11" s="82"/>
      <c r="G11" s="82"/>
      <c r="H11" s="82"/>
      <c r="I11" s="82"/>
      <c r="J11" s="82"/>
    </row>
    <row r="12" ht="12.75" customHeight="1"/>
    <row r="13" ht="138.75" customHeight="1">
      <c r="A13" s="30" t="s">
        <v>365</v>
      </c>
      <c r="B13" s="4"/>
      <c r="C13" s="4"/>
      <c r="D13" s="4"/>
      <c r="E13" s="4"/>
      <c r="F13" s="4"/>
      <c r="G13" s="4"/>
      <c r="H13" s="4"/>
      <c r="I13" s="4"/>
      <c r="J13" s="5"/>
    </row>
    <row r="14" ht="12.75" customHeight="1"/>
    <row r="15" ht="75.0" customHeight="1">
      <c r="A15" s="30" t="s">
        <v>366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searchVariation=MCO16211422&amp;position=3&amp;search_layout=stack&amp;type=product&amp;tracking_id=7a5eaca7-1b3b-422c-8409-09afa8f8a058"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t="s">
        <v>346</v>
      </c>
    </row>
    <row r="2" ht="27.75" customHeight="1">
      <c r="D2" s="33" t="s">
        <v>31</v>
      </c>
    </row>
    <row r="3" ht="12.75" customHeight="1"/>
    <row r="4" ht="12.75" customHeight="1"/>
    <row r="5" ht="43.5" customHeight="1">
      <c r="A5" s="131" t="s">
        <v>2</v>
      </c>
      <c r="B5" s="4"/>
      <c r="C5" s="4"/>
      <c r="D5" s="4"/>
      <c r="E5" s="4"/>
      <c r="F5" s="4"/>
      <c r="G5" s="4"/>
      <c r="H5" s="4"/>
      <c r="I5" s="4"/>
      <c r="J5" s="5"/>
    </row>
    <row r="6" ht="15.75" customHeight="1"/>
    <row r="7" ht="75.75" customHeight="1">
      <c r="A7" s="6" t="s">
        <v>3</v>
      </c>
      <c r="B7" s="55" t="s">
        <v>367</v>
      </c>
      <c r="C7" s="55" t="s">
        <v>368</v>
      </c>
      <c r="D7" s="55" t="s">
        <v>369</v>
      </c>
      <c r="E7" s="55" t="s">
        <v>370</v>
      </c>
      <c r="F7" s="56" t="s">
        <v>371</v>
      </c>
      <c r="G7" s="57" t="s">
        <v>372</v>
      </c>
      <c r="H7" s="55" t="s">
        <v>10</v>
      </c>
      <c r="I7" s="55" t="s">
        <v>373</v>
      </c>
      <c r="J7" s="55" t="s">
        <v>374</v>
      </c>
      <c r="K7" s="10"/>
      <c r="L7" s="10"/>
      <c r="M7" s="10"/>
      <c r="N7" s="10"/>
      <c r="O7" s="10"/>
      <c r="P7" s="10"/>
      <c r="Q7" s="10"/>
      <c r="R7" s="10"/>
      <c r="S7" s="10"/>
      <c r="T7" s="10"/>
      <c r="U7" s="10"/>
      <c r="V7" s="10"/>
      <c r="W7" s="10"/>
      <c r="X7" s="10"/>
      <c r="Y7" s="10"/>
      <c r="Z7" s="10"/>
    </row>
    <row r="8" ht="50.25" customHeight="1">
      <c r="A8" s="74" t="s">
        <v>13</v>
      </c>
      <c r="B8" s="118" t="s">
        <v>375</v>
      </c>
      <c r="C8" s="122" t="s">
        <v>376</v>
      </c>
      <c r="D8" s="123" t="s">
        <v>377</v>
      </c>
      <c r="E8" s="124">
        <v>460000.0</v>
      </c>
      <c r="F8" s="115">
        <f t="shared" ref="F8:F10" si="1">E8*1.19</f>
        <v>547400</v>
      </c>
      <c r="G8" s="42">
        <f t="shared" ref="G8:G10" si="2">(F8+E8)/3900</f>
        <v>258.3076923</v>
      </c>
      <c r="H8" s="132">
        <f t="shared" ref="H8:H10" si="3">G8*3900</f>
        <v>1007400</v>
      </c>
      <c r="I8" s="118" t="s">
        <v>17</v>
      </c>
      <c r="J8" s="123" t="s">
        <v>378</v>
      </c>
    </row>
    <row r="9" ht="50.25" customHeight="1">
      <c r="A9" s="74" t="s">
        <v>19</v>
      </c>
      <c r="B9" s="118" t="s">
        <v>375</v>
      </c>
      <c r="C9" s="122" t="s">
        <v>379</v>
      </c>
      <c r="D9" s="123" t="s">
        <v>380</v>
      </c>
      <c r="E9" s="124">
        <v>640000.0</v>
      </c>
      <c r="F9" s="115">
        <f t="shared" si="1"/>
        <v>761600</v>
      </c>
      <c r="G9" s="42">
        <f t="shared" si="2"/>
        <v>359.3846154</v>
      </c>
      <c r="H9" s="132">
        <f t="shared" si="3"/>
        <v>1401600</v>
      </c>
      <c r="I9" s="118" t="s">
        <v>17</v>
      </c>
      <c r="J9" s="123" t="s">
        <v>381</v>
      </c>
    </row>
    <row r="10" ht="50.25" customHeight="1">
      <c r="A10" s="74" t="s">
        <v>24</v>
      </c>
      <c r="B10" s="118" t="s">
        <v>375</v>
      </c>
      <c r="C10" s="122" t="s">
        <v>382</v>
      </c>
      <c r="D10" s="123" t="s">
        <v>383</v>
      </c>
      <c r="E10" s="133">
        <v>890000.0</v>
      </c>
      <c r="F10" s="115">
        <f t="shared" si="1"/>
        <v>1059100</v>
      </c>
      <c r="G10" s="42">
        <f t="shared" si="2"/>
        <v>499.7692308</v>
      </c>
      <c r="H10" s="132">
        <f t="shared" si="3"/>
        <v>1949100</v>
      </c>
      <c r="I10" s="118" t="s">
        <v>17</v>
      </c>
      <c r="J10" s="118" t="s">
        <v>381</v>
      </c>
    </row>
    <row r="11" ht="15.0" hidden="1" customHeight="1">
      <c r="A11" s="28"/>
      <c r="B11" s="82"/>
      <c r="C11" s="82"/>
      <c r="D11" s="82"/>
      <c r="E11" s="82"/>
      <c r="F11" s="82"/>
      <c r="G11" s="134">
        <f>F11+E11</f>
        <v>0</v>
      </c>
      <c r="H11" s="82"/>
      <c r="I11" s="82"/>
      <c r="J11" s="82"/>
    </row>
    <row r="12" ht="12.75" customHeight="1">
      <c r="G12" s="135"/>
    </row>
    <row r="13" ht="138.75" customHeight="1">
      <c r="A13" s="30" t="s">
        <v>384</v>
      </c>
      <c r="B13" s="4"/>
      <c r="C13" s="4"/>
      <c r="D13" s="4"/>
      <c r="E13" s="4"/>
      <c r="F13" s="4"/>
      <c r="G13" s="4"/>
      <c r="H13" s="4"/>
      <c r="I13" s="4"/>
      <c r="J13" s="5"/>
    </row>
    <row r="14" ht="12.75" customHeight="1"/>
    <row r="15" ht="75.0" customHeight="1">
      <c r="A15" s="30" t="s">
        <v>385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32"/>
    </row>
    <row r="2" ht="27.75" customHeight="1">
      <c r="D2" s="136" t="s">
        <v>31</v>
      </c>
    </row>
    <row r="3" ht="12.75" customHeight="1"/>
    <row r="4" ht="12.75" customHeight="1"/>
    <row r="5" ht="43.5" customHeight="1">
      <c r="A5" s="53" t="s">
        <v>2</v>
      </c>
      <c r="B5" s="4"/>
      <c r="C5" s="4"/>
      <c r="D5" s="4"/>
      <c r="E5" s="4"/>
      <c r="F5" s="4"/>
      <c r="G5" s="4"/>
      <c r="H5" s="4"/>
      <c r="I5" s="4"/>
      <c r="J5" s="5"/>
    </row>
    <row r="6" ht="15.75" customHeight="1"/>
    <row r="7" ht="75.75" customHeight="1">
      <c r="A7" s="6" t="s">
        <v>3</v>
      </c>
      <c r="B7" s="55" t="s">
        <v>386</v>
      </c>
      <c r="C7" s="55" t="s">
        <v>387</v>
      </c>
      <c r="D7" s="55" t="s">
        <v>388</v>
      </c>
      <c r="E7" s="55" t="s">
        <v>389</v>
      </c>
      <c r="F7" s="137" t="s">
        <v>390</v>
      </c>
      <c r="G7" s="57" t="s">
        <v>391</v>
      </c>
      <c r="H7" s="55" t="s">
        <v>10</v>
      </c>
      <c r="I7" s="55" t="s">
        <v>392</v>
      </c>
      <c r="J7" s="55" t="s">
        <v>393</v>
      </c>
      <c r="K7" s="10"/>
      <c r="L7" s="10"/>
      <c r="M7" s="10"/>
      <c r="N7" s="10"/>
      <c r="O7" s="10"/>
      <c r="P7" s="10"/>
      <c r="Q7" s="10"/>
      <c r="R7" s="10"/>
      <c r="S7" s="10"/>
      <c r="T7" s="10"/>
      <c r="U7" s="10"/>
      <c r="V7" s="10"/>
      <c r="W7" s="10"/>
      <c r="X7" s="10"/>
      <c r="Y7" s="10"/>
      <c r="Z7" s="10"/>
    </row>
    <row r="8" ht="50.25" customHeight="1">
      <c r="A8" s="74" t="s">
        <v>13</v>
      </c>
      <c r="B8" s="138" t="s">
        <v>394</v>
      </c>
      <c r="C8" s="139" t="s">
        <v>395</v>
      </c>
      <c r="D8" s="140" t="s">
        <v>396</v>
      </c>
      <c r="E8" s="141">
        <v>1168867.0</v>
      </c>
      <c r="F8" s="142">
        <f t="shared" ref="F8:F10" si="1">E8*0.16</f>
        <v>187018.72</v>
      </c>
      <c r="G8" s="61">
        <f t="shared" ref="G8:G10" si="2">(F8+E8)/3900</f>
        <v>347.6630051</v>
      </c>
      <c r="H8" s="143">
        <f t="shared" ref="H8:H10" si="3">G8*3900</f>
        <v>1355885.72</v>
      </c>
      <c r="I8" s="144" t="s">
        <v>66</v>
      </c>
      <c r="J8" s="145" t="s">
        <v>397</v>
      </c>
    </row>
    <row r="9" ht="50.25" customHeight="1">
      <c r="A9" s="74" t="s">
        <v>19</v>
      </c>
      <c r="B9" s="146" t="s">
        <v>398</v>
      </c>
      <c r="C9" s="139" t="s">
        <v>399</v>
      </c>
      <c r="D9" s="146" t="s">
        <v>400</v>
      </c>
      <c r="E9" s="141">
        <v>656699.0</v>
      </c>
      <c r="F9" s="142">
        <f t="shared" si="1"/>
        <v>105071.84</v>
      </c>
      <c r="G9" s="61">
        <f t="shared" si="2"/>
        <v>195.3258564</v>
      </c>
      <c r="H9" s="143">
        <f t="shared" si="3"/>
        <v>761770.84</v>
      </c>
      <c r="I9" s="144" t="s">
        <v>66</v>
      </c>
      <c r="J9" s="145" t="s">
        <v>401</v>
      </c>
    </row>
    <row r="10" ht="50.25" customHeight="1">
      <c r="A10" s="74" t="s">
        <v>24</v>
      </c>
      <c r="B10" s="144" t="s">
        <v>402</v>
      </c>
      <c r="C10" s="13" t="s">
        <v>403</v>
      </c>
      <c r="D10" s="147" t="s">
        <v>404</v>
      </c>
      <c r="E10" s="141">
        <v>384451.0</v>
      </c>
      <c r="F10" s="142">
        <f t="shared" si="1"/>
        <v>61512.16</v>
      </c>
      <c r="G10" s="61">
        <f t="shared" si="2"/>
        <v>114.3495282</v>
      </c>
      <c r="H10" s="143">
        <f t="shared" si="3"/>
        <v>445963.16</v>
      </c>
      <c r="I10" s="144" t="s">
        <v>66</v>
      </c>
      <c r="J10" s="145" t="s">
        <v>405</v>
      </c>
    </row>
    <row r="11" ht="15.0" hidden="1" customHeight="1">
      <c r="A11" s="28"/>
      <c r="B11" s="82"/>
      <c r="C11" s="82"/>
      <c r="D11" s="82"/>
      <c r="E11" s="82"/>
      <c r="F11" s="82"/>
      <c r="G11" s="82"/>
      <c r="H11" s="82"/>
      <c r="I11" s="82"/>
      <c r="J11" s="82"/>
    </row>
    <row r="12" ht="12.75" customHeight="1"/>
    <row r="13" ht="138.75" customHeight="1">
      <c r="A13" s="148"/>
      <c r="B13" s="4"/>
      <c r="C13" s="4"/>
      <c r="D13" s="4"/>
      <c r="E13" s="4"/>
      <c r="F13" s="4"/>
      <c r="G13" s="4"/>
      <c r="H13" s="4"/>
      <c r="I13" s="4"/>
      <c r="J13" s="5"/>
    </row>
    <row r="14" ht="12.75" customHeight="1"/>
    <row r="15" ht="75.0" customHeight="1">
      <c r="A15" s="30" t="s">
        <v>406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32"/>
    </row>
    <row r="2" ht="27.75" customHeight="1">
      <c r="D2" s="33" t="s">
        <v>31</v>
      </c>
    </row>
    <row r="3" ht="12.75" customHeight="1"/>
    <row r="4" ht="12.75" customHeight="1"/>
    <row r="5" ht="43.5" customHeight="1">
      <c r="A5" s="149" t="s">
        <v>2</v>
      </c>
      <c r="B5" s="4"/>
      <c r="C5" s="4"/>
      <c r="D5" s="4"/>
      <c r="E5" s="4"/>
      <c r="F5" s="4"/>
      <c r="G5" s="4"/>
      <c r="H5" s="4"/>
      <c r="I5" s="4"/>
      <c r="J5" s="5"/>
    </row>
    <row r="6" ht="15.75" customHeight="1"/>
    <row r="7" ht="75.75" customHeight="1">
      <c r="A7" s="6" t="s">
        <v>3</v>
      </c>
      <c r="B7" s="55" t="s">
        <v>407</v>
      </c>
      <c r="C7" s="55" t="s">
        <v>408</v>
      </c>
      <c r="D7" s="55" t="s">
        <v>409</v>
      </c>
      <c r="E7" s="55" t="s">
        <v>410</v>
      </c>
      <c r="F7" s="56" t="s">
        <v>411</v>
      </c>
      <c r="G7" s="57" t="s">
        <v>412</v>
      </c>
      <c r="H7" s="55" t="s">
        <v>10</v>
      </c>
      <c r="I7" s="55" t="s">
        <v>413</v>
      </c>
      <c r="J7" s="55" t="s">
        <v>414</v>
      </c>
      <c r="K7" s="10"/>
      <c r="L7" s="10"/>
      <c r="M7" s="10"/>
      <c r="N7" s="10"/>
      <c r="O7" s="10"/>
      <c r="P7" s="10"/>
      <c r="Q7" s="10"/>
      <c r="R7" s="10"/>
      <c r="S7" s="10"/>
      <c r="T7" s="10"/>
      <c r="U7" s="10"/>
      <c r="V7" s="10"/>
      <c r="W7" s="10"/>
      <c r="X7" s="10"/>
      <c r="Y7" s="10"/>
      <c r="Z7" s="10"/>
    </row>
    <row r="8" ht="50.25" customHeight="1">
      <c r="A8" s="74" t="s">
        <v>13</v>
      </c>
      <c r="B8" s="113" t="s">
        <v>415</v>
      </c>
      <c r="C8" s="150" t="s">
        <v>416</v>
      </c>
      <c r="D8" s="151" t="s">
        <v>417</v>
      </c>
      <c r="E8" s="152">
        <v>39900.0</v>
      </c>
      <c r="F8" s="153">
        <f>E8*0.16</f>
        <v>6384</v>
      </c>
      <c r="G8" s="154">
        <f t="shared" ref="G8:G10" si="1">(F8+E8)/3900</f>
        <v>11.86769231</v>
      </c>
      <c r="H8" s="132">
        <f t="shared" ref="H8:H10" si="2">G8*3900</f>
        <v>46284</v>
      </c>
      <c r="I8" s="155" t="s">
        <v>17</v>
      </c>
      <c r="J8" s="156" t="s">
        <v>418</v>
      </c>
    </row>
    <row r="9" ht="50.25" customHeight="1">
      <c r="A9" s="74" t="s">
        <v>19</v>
      </c>
      <c r="B9" s="113" t="s">
        <v>419</v>
      </c>
      <c r="C9" s="157" t="s">
        <v>420</v>
      </c>
      <c r="D9" s="155" t="str">
        <f t="shared" ref="D9:D10" si="3">D8</f>
        <v>Windows 11 Pro</v>
      </c>
      <c r="E9" s="152">
        <v>58000.0</v>
      </c>
      <c r="F9" s="153">
        <f>E9*1.19</f>
        <v>69020</v>
      </c>
      <c r="G9" s="154">
        <f t="shared" si="1"/>
        <v>32.56923077</v>
      </c>
      <c r="H9" s="132">
        <f t="shared" si="2"/>
        <v>127020</v>
      </c>
      <c r="I9" s="155" t="s">
        <v>17</v>
      </c>
      <c r="J9" s="156" t="s">
        <v>421</v>
      </c>
    </row>
    <row r="10" ht="50.25" customHeight="1">
      <c r="A10" s="74" t="s">
        <v>24</v>
      </c>
      <c r="B10" s="113" t="s">
        <v>422</v>
      </c>
      <c r="C10" s="150" t="s">
        <v>423</v>
      </c>
      <c r="D10" s="155" t="str">
        <f t="shared" si="3"/>
        <v>Windows 11 Pro</v>
      </c>
      <c r="E10" s="152">
        <v>41500.0</v>
      </c>
      <c r="F10" s="153">
        <f>E10*0.16</f>
        <v>6640</v>
      </c>
      <c r="G10" s="154">
        <f t="shared" si="1"/>
        <v>12.34358974</v>
      </c>
      <c r="H10" s="132">
        <f t="shared" si="2"/>
        <v>48140</v>
      </c>
      <c r="I10" s="155" t="s">
        <v>17</v>
      </c>
      <c r="J10" s="156" t="s">
        <v>424</v>
      </c>
    </row>
    <row r="11" ht="15.0" hidden="1" customHeight="1">
      <c r="A11" s="28"/>
      <c r="B11" s="82"/>
      <c r="C11" s="82"/>
      <c r="D11" s="82"/>
      <c r="E11" s="82"/>
      <c r="F11" s="82"/>
      <c r="G11" s="82"/>
      <c r="H11" s="82"/>
      <c r="I11" s="82"/>
      <c r="J11" s="82"/>
    </row>
    <row r="12" ht="12.75" customHeight="1"/>
    <row r="13" ht="138.75" customHeight="1">
      <c r="A13" s="30" t="s">
        <v>425</v>
      </c>
      <c r="B13" s="4"/>
      <c r="C13" s="4"/>
      <c r="D13" s="4"/>
      <c r="E13" s="4"/>
      <c r="F13" s="4"/>
      <c r="G13" s="4"/>
      <c r="H13" s="4"/>
      <c r="I13" s="4"/>
      <c r="J13" s="5"/>
    </row>
    <row r="14" ht="12.75" customHeight="1"/>
    <row r="15" ht="75.0" customHeight="1">
      <c r="A15" s="30" t="s">
        <v>426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32"/>
    </row>
    <row r="2" ht="27.75" customHeight="1">
      <c r="D2" s="33" t="s">
        <v>31</v>
      </c>
    </row>
    <row r="3" ht="12.75" customHeight="1"/>
    <row r="4" ht="12.75" customHeight="1"/>
    <row r="5" ht="43.5" customHeight="1">
      <c r="A5" s="158" t="s">
        <v>2</v>
      </c>
      <c r="B5" s="4"/>
      <c r="C5" s="4"/>
      <c r="D5" s="4"/>
      <c r="E5" s="4"/>
      <c r="F5" s="4"/>
      <c r="G5" s="4"/>
      <c r="H5" s="4"/>
      <c r="I5" s="4"/>
      <c r="J5" s="5"/>
    </row>
    <row r="6" ht="15.75" customHeight="1"/>
    <row r="7" ht="75.75" customHeight="1">
      <c r="A7" s="6" t="s">
        <v>3</v>
      </c>
      <c r="B7" s="55" t="s">
        <v>427</v>
      </c>
      <c r="C7" s="55" t="s">
        <v>428</v>
      </c>
      <c r="D7" s="55" t="s">
        <v>429</v>
      </c>
      <c r="E7" s="55" t="s">
        <v>430</v>
      </c>
      <c r="F7" s="56" t="s">
        <v>431</v>
      </c>
      <c r="G7" s="57" t="s">
        <v>432</v>
      </c>
      <c r="H7" s="55" t="s">
        <v>10</v>
      </c>
      <c r="I7" s="55" t="s">
        <v>433</v>
      </c>
      <c r="J7" s="55" t="s">
        <v>434</v>
      </c>
      <c r="K7" s="10"/>
      <c r="L7" s="10"/>
      <c r="M7" s="10"/>
      <c r="N7" s="10"/>
      <c r="O7" s="10"/>
      <c r="P7" s="10"/>
      <c r="Q7" s="10"/>
      <c r="R7" s="10"/>
      <c r="S7" s="10"/>
      <c r="T7" s="10"/>
      <c r="U7" s="10"/>
      <c r="V7" s="10"/>
      <c r="W7" s="10"/>
      <c r="X7" s="10"/>
      <c r="Y7" s="10"/>
      <c r="Z7" s="10"/>
    </row>
    <row r="8" ht="50.25" customHeight="1">
      <c r="A8" s="74" t="s">
        <v>13</v>
      </c>
      <c r="B8" s="138" t="s">
        <v>435</v>
      </c>
      <c r="C8" s="138">
        <v>3.232540225E9</v>
      </c>
      <c r="D8" s="140" t="s">
        <v>436</v>
      </c>
      <c r="E8" s="159">
        <v>265131.0</v>
      </c>
      <c r="F8" s="159">
        <f t="shared" ref="F8:F10" si="1">E8*1.19</f>
        <v>315505.89</v>
      </c>
      <c r="G8" s="61">
        <f t="shared" ref="G8:G10" si="2">(F8+E8)/3900</f>
        <v>148.8812538</v>
      </c>
      <c r="H8" s="160">
        <f t="shared" ref="H8:H10" si="3">G8*3900</f>
        <v>580636.89</v>
      </c>
      <c r="I8" s="118" t="s">
        <v>17</v>
      </c>
      <c r="J8" s="138"/>
    </row>
    <row r="9" ht="50.25" customHeight="1">
      <c r="A9" s="74" t="s">
        <v>19</v>
      </c>
      <c r="B9" s="138" t="s">
        <v>437</v>
      </c>
      <c r="C9" s="140">
        <v>3.003227936E9</v>
      </c>
      <c r="D9" s="138" t="str">
        <f>D8</f>
        <v>Licencia de dispositivo SQL Server 2022 - 1 CAL</v>
      </c>
      <c r="E9" s="159">
        <v>1293600.0</v>
      </c>
      <c r="F9" s="159">
        <f t="shared" si="1"/>
        <v>1539384</v>
      </c>
      <c r="G9" s="61">
        <f t="shared" si="2"/>
        <v>726.4061538</v>
      </c>
      <c r="H9" s="160">
        <f t="shared" si="3"/>
        <v>2832984</v>
      </c>
      <c r="I9" s="118" t="s">
        <v>17</v>
      </c>
      <c r="J9" s="138"/>
    </row>
    <row r="10" ht="50.25" customHeight="1">
      <c r="A10" s="74" t="s">
        <v>24</v>
      </c>
      <c r="B10" s="118" t="s">
        <v>375</v>
      </c>
      <c r="C10" s="122" t="s">
        <v>438</v>
      </c>
      <c r="D10" s="123" t="s">
        <v>439</v>
      </c>
      <c r="E10" s="124">
        <v>3756303.0</v>
      </c>
      <c r="F10" s="159">
        <f t="shared" si="1"/>
        <v>4470000.57</v>
      </c>
      <c r="G10" s="61">
        <f t="shared" si="2"/>
        <v>2109.308608</v>
      </c>
      <c r="H10" s="160">
        <f t="shared" si="3"/>
        <v>8226303.57</v>
      </c>
      <c r="I10" s="118" t="s">
        <v>17</v>
      </c>
      <c r="J10" s="161" t="s">
        <v>439</v>
      </c>
    </row>
    <row r="11" ht="15.0" hidden="1" customHeight="1">
      <c r="A11" s="28"/>
      <c r="B11" s="82"/>
      <c r="C11" s="82"/>
      <c r="D11" s="82"/>
      <c r="E11" s="82"/>
      <c r="F11" s="82"/>
      <c r="G11" s="82"/>
      <c r="H11" s="82"/>
      <c r="I11" s="82"/>
      <c r="J11" s="82"/>
    </row>
    <row r="12" ht="12.75" customHeight="1"/>
    <row r="13" ht="138.75" customHeight="1">
      <c r="A13" s="30" t="s">
        <v>440</v>
      </c>
      <c r="B13" s="4"/>
      <c r="C13" s="4"/>
      <c r="D13" s="4"/>
      <c r="E13" s="4"/>
      <c r="F13" s="4"/>
      <c r="G13" s="4"/>
      <c r="H13" s="4"/>
      <c r="I13" s="4"/>
      <c r="J13" s="5"/>
    </row>
    <row r="14" ht="12.75" customHeight="1"/>
    <row r="15" ht="75.0" customHeight="1">
      <c r="A15" s="30" t="s">
        <v>441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10"/>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